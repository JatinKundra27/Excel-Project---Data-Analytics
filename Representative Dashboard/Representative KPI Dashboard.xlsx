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hidePivotFieldList="1"/>
  <mc:AlternateContent xmlns:mc="http://schemas.openxmlformats.org/markup-compatibility/2006">
    <mc:Choice Requires="x15">
      <x15ac:absPath xmlns:x15ac="http://schemas.microsoft.com/office/spreadsheetml/2010/11/ac" url="C:\Users\jatin\Downloads\"/>
    </mc:Choice>
  </mc:AlternateContent>
  <xr:revisionPtr revIDLastSave="0" documentId="13_ncr:10000001_{20686796-B744-4583-A9F0-3E615400B12E}" xr6:coauthVersionLast="47" xr6:coauthVersionMax="47" xr10:uidLastSave="{00000000-0000-0000-0000-000000000000}"/>
  <bookViews>
    <workbookView xWindow="-108" yWindow="-108" windowWidth="23256" windowHeight="12456" xr2:uid="{26D4546B-D2A1-4444-8EAF-A6228F96F0C1}"/>
  </bookViews>
  <sheets>
    <sheet name="Customer Centre Report" sheetId="5" r:id="rId1"/>
    <sheet name="Pivots" sheetId="6" r:id="rId2"/>
    <sheet name="Data" sheetId="2" r:id="rId3"/>
    <sheet name="Assets" sheetId="4" r:id="rId4"/>
  </sheets>
  <definedNames>
    <definedName name="_xlnm._FilterDatabase" localSheetId="2"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1240" r:id="rId5"/>
    <pivotCache cacheId="1241" r:id="rId6"/>
    <pivotCache cacheId="1265" r:id="rId7"/>
    <pivotCache cacheId="2160" r:id="rId8"/>
    <pivotCache cacheId="3258" r:id="rId9"/>
    <pivotCache cacheId="3261" r:id="rId10"/>
    <pivotCache cacheId="3264" r:id="rId11"/>
    <pivotCache cacheId="3267" r:id="rId12"/>
    <pivotCache cacheId="3270" r:id="rId13"/>
  </pivotCaches>
  <fileRecoveryPr repairLoad="1"/>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5" i="6" l="1"/>
  <c r="S31" i="5" s="1"/>
  <c r="L54" i="6"/>
  <c r="L58" i="6" s="1"/>
  <c r="L63" i="6" s="1"/>
  <c r="S38" i="5" s="1"/>
  <c r="L53" i="6"/>
  <c r="L57" i="6" s="1"/>
  <c r="L62" i="6" s="1"/>
  <c r="S37" i="5" s="1"/>
  <c r="L52" i="6"/>
  <c r="L61" i="6" s="1"/>
  <c r="S36" i="5" s="1"/>
  <c r="V20" i="5" a="1"/>
  <c r="V20" i="5" s="1"/>
  <c r="U21" i="5" a="1"/>
  <c r="U21" i="5" s="1"/>
  <c r="I34" i="6"/>
  <c r="F37" i="6" a="1"/>
  <c r="F37" i="6"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J39" i="6" l="1" a="1"/>
  <c r="J39" i="6" s="1"/>
  <c r="I37" i="6" a="1"/>
  <c r="I37" i="6" s="1"/>
  <c r="I41" i="6" a="1"/>
  <c r="I41" i="6" s="1"/>
  <c r="I40" i="6" a="1"/>
  <c r="I40" i="6" s="1"/>
  <c r="I39" i="6" a="1"/>
  <c r="I39" i="6" s="1"/>
  <c r="I38" i="6" a="1"/>
  <c r="I38" i="6" s="1"/>
  <c r="J40" i="6" a="1"/>
  <c r="J40" i="6" s="1"/>
  <c r="J37" i="6" a="1"/>
  <c r="J37" i="6" s="1"/>
  <c r="J38" i="6" a="1"/>
  <c r="J38" i="6" s="1"/>
  <c r="J41" i="6" a="1"/>
  <c r="J41"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881528-BEB1-4046-AD16-253E79C365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FFFCC3B-4742-4D61-837D-138817437907}"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17FA9A2D-D019-4AF1-95F4-633B5402201E}"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<sst xmlns="http://schemas.openxmlformats.org/spreadsheetml/2006/main" count="3175" uniqueCount="1086">
  <si>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</si>
  <si>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</si>
  <si>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</si>
  <si>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</si>
  <si>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</si>
  <si>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</si>
  <si>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</si>
  <si>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</si>
  <si>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</si>
  <si>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</si>
  <si>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</si>
  <si>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</si>
  <si>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</si>
  <si>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</si>
  <si>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</si>
  <si>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</si>
  <si>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</si>
  <si>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</si>
  <si>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</si>
  <si>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</si>
  <si>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</si>
  <si>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</si>
  <si>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</si>
  <si>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</si>
  <si>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</si>
  <si>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</si>
  <si>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</si>
  <si>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</si>
  <si>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</si>
  <si>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</si>
  <si>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</si>
  <si>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</si>
  <si>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</si>
  <si>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</si>
  <si>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</si>
  <si>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</si>
  <si>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</si>
  <si>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</si>
  <si>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</si>
  <si>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</si>
  <si>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</si>
  <si>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</si>
  <si>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</si>
  <si>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</si>
  <si>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</si>
  <si>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</si>
  <si>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</si>
  <si>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</si>
  <si>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</si>
  <si>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</si>
  <si>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</si>
  <si>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</si>
  <si>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</si>
  <si>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</si>
  <si>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</si>
  <si>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</si>
  <si>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</si>
  <si>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</si>
  <si>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</si>
  <si>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</si>
  <si>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</si>
  <si>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</si>
  <si>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</si>
  <si>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</si>
  <si>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</si>
  <si>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</si>
  <si>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</si>
  <si>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</si>
  <si>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</si>
  <si>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</si>
  <si>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</si>
  <si>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</si>
  <si>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</si>
  <si>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</si>
  <si>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</si>
  <si>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</si>
  <si>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</si>
  <si>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</si>
  <si>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</si>
  <si>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</si>
  <si>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</si>
  <si>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</si>
  <si>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</si>
  <si>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</si>
  <si>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</si>
  <si>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</si>
  <si>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</si>
  <si>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</si>
  <si>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</si>
  <si>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</si>
  <si>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</si>
  <si>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</si>
  <si>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</si>
  <si>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</si>
  <si>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</si>
  <si>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</si>
  <si>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</si>
  <si>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</si>
  <si>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</si>
  <si>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</si>
  <si>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</si>
  <si>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</si>
  <si>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</si>
  <si>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</si>
  <si>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</si>
  <si>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</si>
  <si>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</si>
  <si>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</si>
  <si>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</si>
  <si>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</si>
  <si>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</si>
  <si>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</si>
  <si>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</si>
  <si>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</si>
  <si>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</si>
  <si>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</si>
  <si>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</si>
  <si>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</si>
  <si>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</si>
  <si>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</si>
  <si>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</si>
  <si>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</si>
  <si>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</si>
  <si>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</si>
  <si>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</si>
  <si>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</si>
  <si>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</si>
  <si>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</si>
  <si>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</si>
  <si>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</si>
  <si>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</si>
  <si>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</si>
  <si>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</si>
  <si>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</si>
  <si>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</si>
  <si>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</si>
  <si>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</si>
  <si>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</si>
  <si>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</si>
  <si>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</si>
  <si>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</si>
  <si>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</si>
  <si>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</si>
  <si>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</si>
  <si>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</si>
  <si>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</si>
  <si>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</si>
  <si>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</si>
  <si>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</si>
  <si>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</si>
  <si>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</si>
  <si>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</si>
  <si>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</si>
  <si>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</si>
  <si>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</si>
  <si>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</si>
  <si>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</si>
  <si>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</si>
  <si>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</si>
  <si>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</si>
  <si>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</si>
  <si>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</si>
  <si>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</si>
  <si>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</si>
  <si>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</si>
  <si>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</si>
  <si>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</si>
  <si>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</si>
  <si>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</si>
  <si>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</si>
  <si>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</si>
  <si>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</si>
  <si>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</si>
  <si>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</si>
  <si>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</si>
  <si>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</si>
  <si>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</si>
  <si>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</si>
  <si>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</si>
  <si>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</si>
  <si>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</si>
  <si>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</si>
  <si>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</si>
  <si>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</si>
  <si>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</si>
  <si>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</si>
  <si>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</si>
  <si>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</si>
  <si>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</si>
  <si>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</si>
  <si>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</si>
  <si>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</si>
  <si>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</si>
  <si>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</si>
  <si>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</si>
  <si>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</si>
  <si>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</si>
  <si>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</si>
  <si>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</si>
  <si>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</si>
  <si>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</si>
  <si>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</si>
  <si>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</si>
  <si>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</si>
  <si>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</si>
  <si>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</si>
  <si>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</si>
  <si>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</si>
  <si>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</si>
  <si>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</si>
  <si>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</si>
  <si>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</si>
  <si>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</si>
  <si>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</si>
  <si>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</si>
  <si>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</si>
  <si>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</si>
  <si>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</si>
  <si>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</si>
  <si>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</si>
  <si>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</si>
  <si>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</si>
  <si>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</si>
  <si>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</si>
  <si>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</si>
  <si>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</si>
  <si>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</si>
  <si>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</si>
  <si>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</si>
  <si>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</si>
  <si>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</si>
  <si>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</si>
  <si>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</si>
  <si>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</si>
  <si>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</si>
  <si>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</si>
  <si>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</si>
  <si>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</si>
  <si>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</si>
  <si>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</si>
  <si>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</si>
  <si>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</si>
  <si>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</si>
  <si>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</si>
  <si>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</si>
  <si>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</si>
  <si>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</si>
  <si>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</si>
  <si>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</si>
  <si>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</si>
  <si>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</si>
  <si>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</si>
  <si>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</si>
  <si>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</si>
  <si>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</si>
  <si>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</si>
  <si>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</si>
  <si>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</si>
  <si>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</si>
  <si>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</si>
  <si>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</si>
  <si>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</si>
  <si>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</si>
  <si>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</si>
  <si>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</si>
  <si>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</si>
  <si>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</si>
  <si>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</si>
  <si>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</si>
  <si>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</si>
  <si>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</si>
  <si>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</si>
  <si>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</si>
  <si>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</si>
  <si>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</si>
  <si>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</si>
  <si>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</si>
  <si>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</si>
  <si>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</si>
  <si>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</si>
  <si>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</si>
  <si>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</si>
  <si>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</si>
  <si>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</si>
  <si>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</si>
  <si>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</si>
  <si>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</si>
  <si>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</si>
  <si>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</si>
  <si>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</si>
  <si>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</si>
  <si>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</si>
  <si>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</si>
  <si>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</si>
  <si>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</si>
  <si>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</si>
  <si>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</si>
  <si>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</si>
  <si>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</si>
  <si>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</si>
  <si>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</si>
  <si>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</si>
  <si>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</si>
  <si>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</si>
  <si>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</si>
  <si>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</si>
  <si>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</si>
  <si>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</si>
  <si>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</si>
  <si>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</si>
  <si>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</si>
  <si>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</si>
  <si>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</si>
  <si>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</si>
  <si>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</si>
  <si>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</si>
  <si>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</si>
  <si>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</si>
  <si>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</si>
  <si>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</si>
  <si>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</si>
  <si>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</si>
  <si>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</si>
  <si>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</si>
  <si>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</si>
  <si>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</si>
  <si>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</si>
  <si>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</si>
  <si>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</si>
  <si>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</si>
  <si>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</si>
  <si>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</si>
  <si>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</si>
  <si>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</si>
  <si>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</si>
  <si>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</si>
  <si>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</si>
  <si>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</si>
  <si>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</si>
  <si>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</si>
  <si>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</si>
  <si>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</si>
  <si>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</si>
  <si>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</si>
  <si>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</si>
  <si>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</si>
  <si>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</si>
  <si>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</si>
  <si>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</si>
  <si>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</si>
  <si>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</si>
  <si>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</si>
  <si>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</si>
  <si>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</si>
  <si>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</si>
  <si>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</si>
  <si>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</si>
  <si>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</si>
  <si>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</si>
  <si>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</si>
  <si>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</si>
  <si>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</si>
  <si>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</si>
  <si>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</si>
  <si>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</si>
  <si>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</si>
  <si>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</si>
  <si>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</si>
  <si>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</si>
  <si>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</si>
  <si>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</si>
  <si>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</si>
  <si>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</si>
  <si>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</si>
  <si>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</si>
  <si>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</si>
  <si>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</si>
  <si>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</si>
  <si>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</si>
  <si>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</si>
  <si>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</si>
  <si>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</si>
  <si>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</si>
  <si>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</si>
  <si>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</si>
  <si>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</si>
  <si>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</si>
  <si>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</si>
  <si>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</si>
  <si>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</si>
  <si>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</si>
  <si>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</si>
  <si>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</si>
  <si>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</si>
  <si>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</si>
  <si>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</si>
  <si>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</si>
  <si>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</si>
  <si>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</si>
  <si>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</si>
  <si>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</si>
  <si>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</si>
  <si>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</si>
  <si>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</si>
  <si>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</si>
  <si>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</si>
  <si>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</si>
  <si>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</si>
  <si>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</si>
  <si>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</si>
  <si>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</si>
  <si>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</si>
  <si>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</si>
  <si>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</si>
  <si>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</si>
  <si>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</si>
  <si>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</si>
  <si>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</si>
  <si>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</si>
  <si>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</si>
  <si>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</si>
  <si>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</si>
  <si>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</si>
  <si>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</si>
  <si>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</si>
  <si>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</si>
  <si>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</si>
  <si>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</si>
  <si>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</si>
  <si>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</si>
  <si>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</si>
  <si>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</si>
  <si>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</si>
  <si>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</si>
  <si>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</si>
  <si>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</si>
  <si>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</si>
  <si>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</si>
  <si>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</si>
  <si>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</si>
  <si>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</si>
  <si>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</si>
  <si>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</si>
  <si>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</si>
  <si>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</si>
  <si>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</si>
  <si>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</si>
  <si>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</si>
  <si>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</si>
  <si>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</si>
  <si>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</si>
  <si>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</si>
  <si>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</si>
  <si>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</si>
  <si>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</si>
  <si>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</si>
  <si>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</si>
  <si>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</si>
  <si>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</si>
  <si>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</si>
  <si>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</si>
  <si>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</si>
  <si>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</si>
  <si>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</si>
  <si>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</si>
  <si>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</si>
  <si>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</si>
  <si>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</si>
  <si>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</si>
  <si>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</si>
  <si>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</si>
  <si>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</si>
  <si>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</si>
  <si>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</si>
  <si>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</si>
  <si>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</si>
  <si>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</si>
  <si>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</si>
  <si>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</si>
  <si>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</si>
  <si>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</si>
  <si>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</si>
  <si>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</si>
  <si>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</si>
  <si>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</si>
  <si>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</si>
  <si>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</si>
  <si>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</si>
  <si>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</si>
  <si>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</si>
  <si>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</si>
  <si>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</si>
  <si>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</si>
  <si>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</si>
  <si>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</si>
  <si>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</si>
  <si>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</si>
  <si>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</si>
  <si>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</si>
  <si>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</si>
  <si>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</si>
  <si>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</si>
  <si>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</si>
  <si>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</si>
  <si>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</si>
  <si>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</si>
  <si>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</si>
  <si>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</si>
  <si>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</si>
  <si>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</si>
  <si>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</si>
  <si>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</si>
  <si>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</si>
  <si>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</si>
  <si>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</si>
  <si>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</si>
  <si>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</si>
  <si>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</si>
  <si>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</si>
  <si>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</si>
  <si>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</si>
  <si>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</si>
  <si>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</si>
  <si>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</si>
  <si>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</si>
  <si>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</si>
  <si>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</si>
  <si>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</si>
  <si>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</si>
  <si>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</si>
  <si>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</si>
  <si>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</si>
  <si>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</si>
  <si>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</si>
  <si>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</si>
  <si>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</si>
  <si>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</si>
  <si>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</si>
  <si>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</si>
  <si>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</si>
  <si>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</si>
  <si>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</si>
  <si>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</si>
  <si>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</si>
  <si>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</si>
  <si>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</si>
  <si>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</si>
  <si>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</si>
  <si>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</si>
  <si>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</si>
  <si>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</si>
  <si>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</si>
  <si>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</si>
  <si>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</si>
  <si>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</si>
  <si>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</si>
  <si>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</si>
  <si>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</si>
  <si>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</si>
  <si>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</si>
  <si>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</si>
  <si>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</si>
  <si>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</si>
  <si>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</si>
  <si>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</si>
  <si>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</si>
  <si>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</si>
  <si>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</si>
  <si>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</si>
  <si>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</si>
  <si>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</si>
  <si>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</si>
  <si>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</si>
  <si>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</si>
  <si>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</si>
  <si>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</si>
  <si>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</si>
  <si>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</si>
  <si>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</si>
  <si>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</si>
  <si>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</si>
  <si>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</si>
  <si>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</si>
  <si>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</si>
  <si>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</si>
  <si>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</si>
  <si>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</si>
  <si>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</si>
  <si>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</si>
  <si>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</si>
  <si>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</si>
  <si>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</si>
  <si>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</si>
  <si>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</si>
  <si>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</si>
  <si>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</si>
  <si>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</si>
  <si>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</si>
  <si>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</si>
  <si>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</si>
  <si>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</si>
  <si>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</si>
  <si>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</si>
  <si>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</si>
  <si>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</si>
  <si>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</si>
  <si>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</si>
  <si>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</si>
  <si>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</si>
  <si>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</si>
  <si>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</si>
  <si>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</si>
  <si>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</si>
  <si>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</si>
  <si>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</si>
  <si>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</si>
  <si>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</si>
  <si>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</si>
  <si>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</si>
  <si>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</si>
  <si>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</si>
  <si>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</si>
  <si>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</si>
  <si>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</si>
  <si>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</si>
  <si>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</si>
  <si>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</si>
  <si>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</si>
  <si>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</si>
  <si>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</si>
  <si>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</si>
  <si>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</si>
  <si>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</si>
  <si>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</si>
  <si>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</si>
  <si>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</si>
  <si>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</si>
  <si>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</si>
  <si>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</si>
  <si>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</si>
  <si>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</si>
  <si>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</si>
  <si>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</si>
  <si>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</si>
  <si>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</si>
  <si>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</si>
  <si>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</si>
  <si>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</si>
  <si>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</si>
  <si>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</si>
  <si>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</si>
  <si>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</si>
  <si>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</si>
  <si>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</si>
  <si>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</si>
  <si>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</si>
  <si>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</si>
  <si>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</si>
  <si>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</si>
  <si>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</si>
  <si>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</si>
  <si>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</si>
  <si>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</si>
  <si>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</si>
  <si>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</si>
  <si>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</si>
  <si>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</si>
  <si>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</si>
  <si>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</si>
  <si>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</si>
  <si>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</si>
  <si>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</si>
  <si>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</si>
  <si>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</si>
  <si>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</si>
  <si>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</si>
  <si>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</si>
  <si>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</si>
  <si>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</si>
  <si>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</si>
  <si>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</si>
  <si>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</si>
  <si>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</si>
  <si>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</si>
  <si>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</si>
  <si>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</si>
  <si>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</si>
  <si>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</si>
  <si>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</si>
  <si>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</si>
  <si>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</si>
  <si>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</si>
  <si>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</si>
  <si>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</si>
  <si>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</si>
  <si>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</si>
  <si>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</si>
  <si>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</si>
  <si>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</si>
  <si>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</si>
  <si>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</si>
  <si>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</si>
  <si>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</si>
  <si>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</si>
  <si>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</si>
  <si>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</si>
  <si>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</si>
  <si>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</si>
  <si>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</si>
  <si>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</si>
  <si>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</si>
  <si>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</si>
  <si>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</si>
  <si>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</si>
  <si>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</si>
  <si>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</si>
  <si>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</si>
  <si>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</si>
  <si>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</si>
  <si>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</si>
  <si>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</si>
  <si>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</si>
  <si>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</si>
  <si>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</si>
  <si>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</si>
  <si>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</si>
  <si>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</si>
  <si>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</si>
  <si>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</si>
  <si>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</si>
  <si>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</si>
  <si>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</si>
  <si>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</si>
  <si>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</si>
  <si>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</si>
  <si>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</si>
  <si>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</si>
  <si>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</si>
  <si>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</si>
  <si>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</si>
  <si>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</si>
  <si>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</si>
  <si>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</si>
  <si>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</si>
  <si>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</si>
  <si>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</si>
  <si>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</si>
  <si>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</si>
  <si>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</si>
  <si>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</si>
  <si>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</si>
  <si>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</si>
  <si>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</si>
  <si>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</si>
  <si>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</si>
  <si>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</si>
  <si>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</si>
  <si>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</si>
  <si>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</si>
  <si>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</si>
  <si>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</si>
  <si>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</si>
  <si>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</si>
  <si>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</si>
  <si>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</si>
  <si>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</si>
  <si>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</si>
  <si>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</si>
  <si>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</si>
  <si>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</si>
  <si>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</si>
  <si>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</si>
  <si>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</si>
  <si>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</si>
  <si>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</si>
  <si>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</si>
  <si>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</si>
  <si>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</si>
  <si>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</si>
  <si>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</si>
  <si>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</si>
  <si>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</si>
  <si>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</si>
  <si>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</si>
  <si>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</si>
  <si>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</si>
  <si>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</si>
  <si>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</si>
  <si>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</si>
  <si>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</si>
  <si>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</si>
  <si>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</si>
  <si>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</si>
  <si>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</si>
  <si>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</si>
  <si>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</si>
  <si>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</si>
  <si>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</si>
  <si>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</si>
  <si>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</si>
  <si>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</si>
  <si>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</si>
  <si>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</si>
  <si>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</si>
  <si>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</si>
  <si>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</si>
  <si>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</si>
  <si>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</si>
  <si>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</si>
  <si>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</si>
  <si>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</si>
  <si>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</si>
  <si>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</si>
  <si>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</si>
  <si>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</si>
  <si>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</si>
  <si>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</si>
  <si>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</si>
  <si>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</si>
  <si>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</si>
  <si>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</si>
  <si>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</si>
  <si>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</si>
  <si>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</si>
  <si>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</si>
  <si>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</si>
  <si>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</si>
  <si>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</si>
  <si>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</si>
  <si>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</si>
  <si>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</si>
  <si>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</si>
  <si>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</si>
  <si>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</si>
  <si>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</si>
  <si>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</si>
  <si>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</si>
  <si>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</si>
  <si>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</si>
  <si>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</si>
  <si>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</si>
  <si>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</si>
  <si>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</si>
  <si>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</si>
  <si>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</si>
  <si>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</si>
  <si>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</si>
  <si>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</si>
  <si>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</si>
  <si>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</si>
  <si>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</si>
  <si>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</si>
  <si>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</si>
  <si>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</si>
  <si>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</si>
  <si>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</si>
  <si>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</si>
  <si>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</si>
  <si>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</si>
  <si>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</si>
  <si>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</si>
  <si>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</si>
  <si>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</si>
  <si>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</si>
  <si>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</si>
  <si>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</si>
  <si>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</si>
  <si>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</si>
  <si>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</si>
  <si>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</si>
  <si>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</si>
  <si>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</si>
  <si>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</si>
  <si>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</si>
  <si>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</si>
  <si>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</si>
  <si>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</si>
  <si>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</si>
  <si>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</si>
  <si>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</si>
  <si>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</si>
  <si>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</si>
  <si>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</si>
  <si>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</si>
  <si>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</si>
  <si>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</si>
  <si>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</si>
  <si>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</si>
  <si>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</si>
  <si>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</si>
  <si>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</si>
  <si>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</si>
  <si>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</si>
  <si>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</si>
  <si>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</si>
  <si>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</si>
  <si>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</si>
  <si>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</si>
  <si>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</si>
  <si>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</si>
  <si>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</si>
  <si>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</si>
  <si>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</si>
  <si>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</si>
  <si>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</si>
  <si>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</si>
  <si>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</si>
  <si>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</si>
  <si>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</si>
  <si>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</si>
  <si>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</si>
  <si>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</si>
  <si>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</si>
  <si>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</si>
  <si>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</si>
  <si>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</si>
  <si>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</si>
  <si>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</si>
  <si>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</si>
  <si>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</si>
  <si>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</si>
  <si>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</si>
  <si>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</si>
  <si>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</si>
  <si>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</si>
  <si>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</si>
  <si>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</si>
  <si>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</si>
  <si>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</si>
  <si>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</si>
  <si>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</si>
  <si>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</si>
  <si>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</si>
  <si>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</si>
  <si>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</si>
  <si>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</si>
  <si>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</si>
  <si>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</si>
  <si>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</si>
  <si>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</si>
  <si>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</si>
  <si>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</si>
  <si>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</si>
  <si>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</si>
  <si>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</si>
  <si>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</si>
  <si>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</si>
  <si>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</si>
  <si>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</si>
  <si>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</si>
  <si>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</si>
  <si>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</si>
  <si>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</si>
  <si>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</si>
  <si>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</si>
  <si>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</si>
  <si>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</si>
  <si>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</si>
  <si>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</si>
  <si>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</si>
  <si>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</si>
  <si>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</si>
  <si>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</si>
  <si>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</si>
  <si>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</si>
  <si>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</si>
  <si>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</si>
  <si>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</si>
  <si>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</si>
  <si>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</si>
  <si>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</si>
  <si>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</si>
  <si>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</si>
  <si>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</si>
  <si>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</si>
  <si>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</si>
  <si>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</si>
  <si>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</si>
  <si>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</si>
  <si>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</si>
  <si>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</si>
  <si>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</si>
  <si>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</si>
  <si>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</si>
  <si>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</si>
  <si>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</si>
  <si>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</si>
  <si>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</si>
  <si>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</si>
  <si>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</si>
  <si>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</si>
  <si>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</si>
  <si>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</si>
  <si>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</si>
  <si>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</si>
  <si>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</si>
  <si>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</si>
  <si>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</si>
  <si>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</si>
  <si>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</si>
  <si>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</si>
  <si>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</si>
  <si>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</si>
  <si>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</si>
  <si>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</si>
  <si>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</si>
  <si>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</si>
  <si>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</si>
  <si>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</si>
  <si>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</si>
  <si>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</si>
  <si>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</si>
  <si>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</si>
  <si>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</si>
  <si>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</si>
  <si>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</si>
  <si>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</si>
  <si>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</si>
  <si>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</si>
  <si>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</si>
  <si>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</si>
  <si>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</si>
  <si>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</si>
  <si>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</si>
  <si>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</si>
  <si>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</si>
  <si>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</si>
  <si>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</si>
  <si>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</si>
  <si>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</si>
  <si>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</si>
  <si>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</si>
  <si>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</si>
  <si>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</si>
  <si>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</si>
  <si>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</si>
  <si>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</si>
  <si>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</si>
  <si>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</si>
  <si>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</si>
  <si>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</si>
  <si>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</si>
  <si>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 xml:space="preserve"> </t>
  </si>
  <si>
    <t>Call Count</t>
  </si>
  <si>
    <t>Total Amount</t>
  </si>
  <si>
    <t>Total Duration</t>
  </si>
  <si>
    <t>Avg Rating</t>
  </si>
  <si>
    <t>5 Star Rating</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</si>
  <si>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</si>
  <si>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</si>
  <si>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</si>
  <si>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</si>
  <si>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</si>
  <si>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</si>
  <si>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</si>
  <si>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</si>
  <si>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</si>
  <si>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</si>
  <si>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</si>
  <si>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</si>
  <si>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</si>
  <si>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</si>
  <si>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</si>
  <si>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</si>
  <si>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</si>
  <si>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</si>
  <si>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</si>
  <si>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</si>
  <si>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</si>
  <si>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</si>
  <si>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Reps</t>
  </si>
  <si>
    <t>Calls</t>
  </si>
  <si>
    <t>Amount</t>
  </si>
  <si>
    <t>Sel Col</t>
  </si>
  <si>
    <t>Sel Am</t>
  </si>
  <si>
    <t>Column Labels</t>
  </si>
  <si>
    <t>Total</t>
  </si>
  <si>
    <t>Rep Summary</t>
  </si>
  <si>
    <t>% of call</t>
  </si>
  <si>
    <t>Call Rank</t>
  </si>
  <si>
    <t>Am Rank</t>
  </si>
  <si>
    <t>call</t>
  </si>
  <si>
    <t>am</t>
  </si>
  <si>
    <t>Labels:</t>
  </si>
  <si>
    <t>Image:</t>
  </si>
  <si>
    <t>CALL CENTRE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</si>
</sst>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0;\(\$#,##0\);\$#,##0"/>
    <numFmt numFmtId="167" formatCode="\$#,###.0,&quot;K&quot;"/>
    <numFmt numFmtId="168" formatCode="[$$-409]#,##0"/>
  </numFmts>
  <fonts count="8" x14ac:knownFonts="1">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sz val="11"/>
      <color theme="1"/>
      <name val="Calibri"/>
      <family val="2"/>
      <scheme val="minor"/>
    </font>
    <font>
      <sz val="12"/>
      <color theme="1"/>
      <name val="Calibri"/>
      <family val="2"/>
      <scheme val="minor"/>
    </font>
    <font>
      <sz val="11"/>
      <color theme="0" tint="-0.499984740745262"/>
      <name val="Calibri"/>
      <family val="2"/>
      <scheme val="minor"/>
    </font>
    <font>
      <b/>
      <sz val="26"/>
      <color theme="0" tint="-0.499984740745262"/>
      <name val="Calibri"/>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diagonal/>
    </border>
    <border>
      <left/>
      <right style="thin">
        <color indexed="64"/>
      </right>
      <top/>
      <bottom/>
      <diagonal/>
    </border>
  </borders>
  <cellStyleXfs count="2">
    <xf numFmtId="0" fontId="0" fillId="0" borderId="0"/>
    <xf numFmtId="9" fontId="4" fillId="0" borderId="0" applyFont="0" applyFill="0" applyBorder="0" applyAlignment="0" applyProtection="0"/>
  </cellStyleXfs>
  <cellXfs count="4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0" borderId="0" xfId="0" applyAlignment="1">
      <alignment horizontal="left" indent="1"/>
    </xf>
    <xf numFmtId="0" fontId="0" fillId="4" borderId="9" xfId="0" applyFill="1" applyBorder="1"/>
    <xf numFmtId="0" fontId="0" fillId="4" borderId="7" xfId="0" applyFill="1" applyBorder="1" applyAlignment="1">
      <alignment horizontal="center"/>
    </xf>
    <xf numFmtId="0" fontId="0" fillId="4" borderId="10" xfId="0" applyFill="1" applyBorder="1" applyAlignment="1">
      <alignment horizontal="center"/>
    </xf>
    <xf numFmtId="168" fontId="5" fillId="4" borderId="0" xfId="0" applyNumberFormat="1" applyFont="1" applyFill="1" applyBorder="1" applyAlignment="1">
      <alignment horizontal="center"/>
    </xf>
    <xf numFmtId="168" fontId="5" fillId="4" borderId="13" xfId="0" applyNumberFormat="1" applyFont="1" applyFill="1" applyBorder="1" applyAlignment="1">
      <alignment horizontal="center"/>
    </xf>
    <xf numFmtId="0" fontId="0" fillId="4" borderId="6" xfId="0" applyFill="1" applyBorder="1" applyAlignment="1">
      <alignment horizontal="center"/>
    </xf>
    <xf numFmtId="168" fontId="5" fillId="4" borderId="11" xfId="0" applyNumberFormat="1" applyFont="1" applyFill="1" applyBorder="1" applyAlignment="1">
      <alignment horizontal="center"/>
    </xf>
    <xf numFmtId="168" fontId="5" fillId="4" borderId="4" xfId="0" applyNumberFormat="1" applyFont="1" applyFill="1" applyBorder="1" applyAlignment="1">
      <alignment horizontal="center"/>
    </xf>
    <xf numFmtId="0" fontId="0" fillId="4" borderId="12" xfId="0" applyFill="1" applyBorder="1" applyAlignment="1">
      <alignment horizontal="center"/>
    </xf>
    <xf numFmtId="0" fontId="1" fillId="4" borderId="12" xfId="0" applyFont="1" applyFill="1" applyBorder="1" applyAlignment="1">
      <alignment horizontal="center" vertical="center"/>
    </xf>
    <xf numFmtId="0" fontId="1" fillId="4" borderId="7" xfId="0" applyFont="1" applyFill="1" applyBorder="1" applyAlignment="1">
      <alignment horizontal="center"/>
    </xf>
    <xf numFmtId="0" fontId="1" fillId="4" borderId="9" xfId="0" applyFont="1" applyFill="1" applyBorder="1" applyAlignment="1">
      <alignment horizontal="left"/>
    </xf>
    <xf numFmtId="0" fontId="1" fillId="4" borderId="10" xfId="0" applyFont="1" applyFill="1" applyBorder="1" applyAlignment="1">
      <alignment horizontal="left"/>
    </xf>
    <xf numFmtId="9" fontId="0" fillId="0" borderId="0" xfId="1" applyFont="1"/>
    <xf numFmtId="0" fontId="0" fillId="3" borderId="0" xfId="0" applyFill="1" applyAlignment="1">
      <alignment horizontal="left"/>
    </xf>
    <xf numFmtId="0" fontId="0" fillId="3" borderId="13" xfId="0" applyFill="1" applyBorder="1" applyAlignment="1">
      <alignment horizontal="left"/>
    </xf>
    <xf numFmtId="0" fontId="6" fillId="3" borderId="0" xfId="0" applyFont="1" applyFill="1" applyAlignment="1"/>
    <xf numFmtId="0" fontId="6" fillId="3" borderId="13" xfId="0" applyFont="1" applyFill="1" applyBorder="1" applyAlignment="1"/>
    <xf numFmtId="0" fontId="7" fillId="3" borderId="0" xfId="0" applyFont="1" applyFill="1" applyAlignment="1">
      <alignment horizontal="left" vertical="center"/>
    </xf>
  </cellXfs>
  <cellStyles count="2">
    <cellStyle name="Normal" xfId="0" builtinId="0"/>
    <cellStyle name="Percent" xfId="1" builtinId="5"/>
  </cellStyles>
  <dxfs count="18">
    <dxf>
      <fill>
        <patternFill>
          <bgColor theme="4" tint="0.79998168889431442"/>
        </patternFill>
      </fill>
      <border>
        <left style="thin">
          <color auto="1"/>
        </left>
        <right style="thin">
          <color auto="1"/>
        </right>
        <top style="thin">
          <color auto="1"/>
        </top>
        <bottom style="thin">
          <color auto="1"/>
        </bottom>
        <vertical/>
        <horizontal/>
      </border>
    </dxf>
    <dxf>
      <font>
        <b/>
        <color theme="1"/>
      </font>
      <border>
        <bottom style="thin">
          <color theme="4"/>
        </bottom>
        <vertical/>
        <horizontal/>
      </border>
    </dxf>
    <dxf>
      <font>
        <color theme="1"/>
      </font>
      <border diagonalUp="0" diagonalDown="0">
        <left/>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Light1 2" pivot="0" table="0" count="10" xr9:uid="{5234C3AD-FF5C-4996-92CC-F1854B95B6B1}">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Amount</a:t>
            </a:r>
          </a:p>
        </c:rich>
      </c:tx>
      <c:layout>
        <c:manualLayout>
          <c:xMode val="edge"/>
          <c:yMode val="edge"/>
          <c:x val="8.7944190231514646E-2"/>
          <c:y val="1.27754337875001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Pivots!$H$37:$H$41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43F-4553-AB95-3774301D7956}"/>
            </c:ext>
          </c:extLst>
        </c:ser>
        <c:ser>
          <c:idx val="1"/>
          <c:order val="1"/>
          <c:tx>
            <c:strRef>
              <c:f>Pivots!$J$36</c:f>
              <c:strCache>
                <c:ptCount val="1"/>
                <c:pt idx="0">
                  <c:v>Sel Am</c:v>
                </c:pt>
              </c:strCache>
            </c:strRef>
          </c:tx>
          <c:spPr>
            <a:gradFill>
              <a:gsLst>
                <a:gs pos="0">
                  <a:schemeClr val="accent1">
                    <a:lumMod val="75000"/>
                  </a:schemeClr>
                </a:gs>
                <a:gs pos="100000">
                  <a:schemeClr val="accent1"/>
                </a:gs>
              </a:gsLst>
              <a:lin ang="13500000" scaled="1"/>
            </a:gradFill>
            <a:ln>
              <a:noFill/>
            </a:ln>
            <a:effectLst/>
          </c:spPr>
          <c:invertIfNegative val="0"/>
          <c:val>
            <c:numRef>
              <c:f>Pivots!$J$37:$J$41</c:f>
              <c:numCache>
                <c:formatCode>General</c:formatCode>
                <c:ptCount val="5"/>
                <c:pt idx="0">
                  <c:v>18415</c:v>
                </c:pt>
                <c:pt idx="1">
                  <c:v>0</c:v>
                </c:pt>
                <c:pt idx="2">
                  <c:v>0</c:v>
                </c:pt>
                <c:pt idx="3">
                  <c:v>0</c:v>
                </c:pt>
                <c:pt idx="4">
                  <c:v>0</c:v>
                </c:pt>
              </c:numCache>
            </c:numRef>
          </c:val>
          <c:extLst>
            <c:ext xmlns:c16="http://schemas.microsoft.com/office/drawing/2014/chart" uri="{C3380CC4-5D6E-409C-BE32-E72D297353CC}">
              <c16:uniqueId val="{00000001-643F-4553-AB95-3774301D7956}"/>
            </c:ext>
          </c:extLst>
        </c:ser>
        <c:dLbls>
          <c:showLegendKey val="0"/>
          <c:showVal val="0"/>
          <c:showCatName val="0"/>
          <c:showSerName val="0"/>
          <c:showPercent val="0"/>
          <c:showBubbleSize val="0"/>
        </c:dLbls>
        <c:gapWidth val="25"/>
        <c:overlap val="100"/>
        <c:axId val="2116918880"/>
        <c:axId val="2116903520"/>
      </c:barChart>
      <c:catAx>
        <c:axId val="21169188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03520"/>
        <c:crosses val="autoZero"/>
        <c:auto val="1"/>
        <c:lblAlgn val="ctr"/>
        <c:lblOffset val="100"/>
        <c:noMultiLvlLbl val="0"/>
      </c:catAx>
      <c:valAx>
        <c:axId val="2116903520"/>
        <c:scaling>
          <c:orientation val="minMax"/>
        </c:scaling>
        <c:delete val="1"/>
        <c:axPos val="t"/>
        <c:numFmt formatCode="\$#,###.0,&quot;K&quot;" sourceLinked="1"/>
        <c:majorTickMark val="out"/>
        <c:minorTickMark val="none"/>
        <c:tickLblPos val="nextTo"/>
        <c:crossAx val="21169188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[Dashboard1.xlsx]Pivots!weekly trend</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Pivots!$J$14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Pivots!$I$15:$I$22</c:f>
              <c:strCache>
                <c:ptCount val="7"/>
                <c:pt idx="0">
                  <c:v>Saturday</c:v>
                </c:pt>
                <c:pt idx="1">
                  <c:v>Friday</c:v>
                </c:pt>
                <c:pt idx="2">
                  <c:v>Thursday</c:v>
                </c:pt>
                <c:pt idx="3">
                  <c:v>Wednesday</c:v>
                </c:pt>
                <c:pt idx="4">
                  <c:v>Tuesday</c:v>
                </c:pt>
                <c:pt idx="5">
                  <c:v>Monday</c:v>
                </c:pt>
                <c:pt idx="6">
                  <c:v>Sunday</c:v>
                </c:pt>
              </c:strCache>
            </c:strRef>
          </c:cat>
          <c:val>
            <c:numRef>
              <c:f>Pivots!$J$15:$J$22</c:f>
              <c:numCache>
                <c:formatCode>#,##0</c:formatCode>
                <c:ptCount val="7"/>
                <c:pt idx="0">
                  <c:v>161</c:v>
                </c:pt>
                <c:pt idx="1">
                  <c:v>141</c:v>
                </c:pt>
                <c:pt idx="2">
                  <c:v>128</c:v>
                </c:pt>
                <c:pt idx="3">
                  <c:v>153</c:v>
                </c:pt>
                <c:pt idx="4">
                  <c:v>138</c:v>
                </c:pt>
                <c:pt idx="5">
                  <c:v>133</c:v>
                </c:pt>
                <c:pt idx="6">
                  <c:v>146</c:v>
                </c:pt>
              </c:numCache>
            </c:numRef>
          </c:val>
          <c:extLst>
            <c:ext xmlns:c16="http://schemas.microsoft.com/office/drawing/2014/chart" uri="{C3380CC4-5D6E-409C-BE32-E72D297353CC}">
              <c16:uniqueId val="{00000000-F465-46B0-A9C7-64C72C0550A2}"/>
            </c:ext>
          </c:extLst>
        </c:ser>
        <c:dLbls>
          <c:showLegendKey val="0"/>
          <c:showVal val="0"/>
          <c:showCatName val="0"/>
          <c:showSerName val="0"/>
          <c:showPercent val="0"/>
          <c:showBubbleSize val="0"/>
        </c:dLbls>
        <c:gapWidth val="75"/>
        <c:gapDepth val="0"/>
        <c:shape val="box"/>
        <c:axId val="112532960"/>
        <c:axId val="1476355808"/>
        <c:axId val="0"/>
      </c:bar3DChart>
      <c:catAx>
        <c:axId val="112532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476355808"/>
        <c:crosses val="autoZero"/>
        <c:auto val="1"/>
        <c:lblAlgn val="ctr"/>
        <c:lblOffset val="100"/>
        <c:noMultiLvlLbl val="0"/>
      </c:catAx>
      <c:valAx>
        <c:axId val="1476355808"/>
        <c:scaling>
          <c:orientation val="minMax"/>
        </c:scaling>
        <c:delete val="0"/>
        <c:axPos val="b"/>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[Dashboard1.xlsx]Pivots!Monthly trend</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Calls Trend</a:t>
            </a:r>
          </a:p>
        </c:rich>
      </c:tx>
      <c:layout>
        <c:manualLayout>
          <c:xMode val="edge"/>
          <c:yMode val="edge"/>
          <c:x val="2.893744531933508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bg1">
                <a:lumMod val="75000"/>
              </a:schemeClr>
            </a:solidFill>
            <a:round/>
          </a:ln>
          <a:effectLst/>
        </c:spPr>
        <c:marker>
          <c:symbol val="circle"/>
          <c:size val="6"/>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5000"/>
                  <a:lumOff val="45000"/>
                  <a:alpha val="70000"/>
                </a:schemeClr>
              </a:gs>
              <a:gs pos="100000">
                <a:schemeClr val="accent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5000"/>
                  <a:lumOff val="45000"/>
                  <a:alpha val="70000"/>
                </a:schemeClr>
              </a:gs>
              <a:gs pos="100000">
                <a:schemeClr val="accent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75000"/>
              </a:schemeClr>
            </a:solidFill>
            <a:round/>
          </a:ln>
          <a:effectLst/>
        </c:spPr>
        <c:marker>
          <c:symbol val="circle"/>
          <c:size val="6"/>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bg1">
                <a:lumMod val="65000"/>
              </a:schemeClr>
            </a:solidFill>
            <a:round/>
          </a:ln>
          <a:effectLst/>
        </c:spPr>
        <c:marker>
          <c:symbol val="circle"/>
          <c:size val="6"/>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Pivots!$C$15</c:f>
              <c:strCache>
                <c:ptCount val="1"/>
                <c:pt idx="0">
                  <c:v>Call Count2</c:v>
                </c:pt>
              </c:strCache>
            </c:strRef>
          </c:tx>
          <c:spPr>
            <a:gradFill flip="none" rotWithShape="1">
              <a:gsLst>
                <a:gs pos="0">
                  <a:schemeClr val="accent1"/>
                </a:gs>
                <a:gs pos="100000">
                  <a:schemeClr val="accent1">
                    <a:lumMod val="60000"/>
                    <a:lumOff val="40000"/>
                  </a:schemeClr>
                </a:gs>
              </a:gsLst>
              <a:lin ang="16200000" scaled="1"/>
              <a:tileRect/>
            </a:gradFill>
            <a:ln>
              <a:noFill/>
            </a:ln>
            <a:effectLst/>
          </c:spP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Pivots!$C$16:$C$28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3825-44C7-9F56-3079E27FDF25}"/>
            </c:ext>
          </c:extLst>
        </c:ser>
        <c:dLbls>
          <c:showLegendKey val="0"/>
          <c:showVal val="0"/>
          <c:showCatName val="0"/>
          <c:showSerName val="0"/>
          <c:showPercent val="0"/>
          <c:showBubbleSize val="0"/>
        </c:dLbls>
        <c:axId val="1588503696"/>
        <c:axId val="1588504656"/>
      </c:areaChart>
      <c:lineChart>
        <c:grouping val="standard"/>
        <c:varyColors val="0"/>
        <c:ser>
          <c:idx val="0"/>
          <c:order val="0"/>
          <c:tx>
            <c:strRef>
              <c:f>Pivots!$B$15</c:f>
              <c:strCache>
                <c:ptCount val="1"/>
                <c:pt idx="0">
                  <c:v>Call Count</c:v>
                </c:pt>
              </c:strCache>
            </c:strRef>
          </c:tx>
          <c:spPr>
            <a:ln w="34925" cap="rnd">
              <a:solidFill>
                <a:schemeClr val="bg1">
                  <a:lumMod val="65000"/>
                </a:schemeClr>
              </a:solidFill>
              <a:round/>
            </a:ln>
            <a:effectLst/>
          </c:spPr>
          <c:marker>
            <c:symbol val="circle"/>
            <c:size val="6"/>
            <c:spPr>
              <a:solidFill>
                <a:schemeClr val="accent1">
                  <a:lumMod val="20000"/>
                  <a:lumOff val="80000"/>
                </a:schemeClr>
              </a:solidFill>
              <a:ln w="9525">
                <a:solidFill>
                  <a:schemeClr val="accent1"/>
                </a:solidFill>
              </a:ln>
              <a:effectLst/>
            </c:spPr>
          </c:marke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Pivots!$B$16:$B$28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3825-44C7-9F56-3079E27FDF25}"/>
            </c:ext>
          </c:extLst>
        </c:ser>
        <c:dLbls>
          <c:showLegendKey val="0"/>
          <c:showVal val="0"/>
          <c:showCatName val="0"/>
          <c:showSerName val="0"/>
          <c:showPercent val="0"/>
          <c:showBubbleSize val="0"/>
        </c:dLbls>
        <c:marker val="1"/>
        <c:smooth val="0"/>
        <c:axId val="1588503696"/>
        <c:axId val="1588504656"/>
      </c:lineChart>
      <c:catAx>
        <c:axId val="15885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88504656"/>
        <c:crosses val="autoZero"/>
        <c:auto val="1"/>
        <c:lblAlgn val="ctr"/>
        <c:lblOffset val="100"/>
        <c:noMultiLvlLbl val="0"/>
      </c:catAx>
      <c:valAx>
        <c:axId val="1588504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8850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Calls</a:t>
            </a:r>
          </a:p>
        </c:rich>
      </c:tx>
      <c:layout>
        <c:manualLayout>
          <c:xMode val="edge"/>
          <c:yMode val="edge"/>
          <c:x val="2.8669512781246773E-2"/>
          <c:y val="7.2056922088278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57622534378119"/>
          <c:y val="0.19970145026827932"/>
          <c:w val="0.85576075514139438"/>
          <c:h val="0.67539351584916663"/>
        </c:manualLayout>
      </c:layout>
      <c:barChart>
        <c:barDir val="bar"/>
        <c:grouping val="clustered"/>
        <c:varyColors val="0"/>
        <c:ser>
          <c:idx val="0"/>
          <c:order val="0"/>
          <c:spPr>
            <a:solidFill>
              <a:schemeClr val="bg1">
                <a:lumMod val="85000"/>
              </a:schemeClr>
            </a:solidFill>
            <a:ln>
              <a:noFill/>
            </a:ln>
            <a:effectLst/>
          </c:spPr>
          <c:invertIfNegative val="0"/>
          <c:dPt>
            <c:idx val="4"/>
            <c:invertIfNegative val="0"/>
            <c:bubble3D val="0"/>
            <c:spPr>
              <a:solidFill>
                <a:schemeClr val="bg1">
                  <a:lumMod val="85000"/>
                </a:schemeClr>
              </a:solidFill>
              <a:ln>
                <a:gradFill>
                  <a:gsLst>
                    <a:gs pos="0">
                      <a:schemeClr val="accent1">
                        <a:lumMod val="20000"/>
                        <a:lumOff val="80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09C0-433C-851A-4B661E50E4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Pivots!$G$37:$G$41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2-09C0-433C-851A-4B661E50E46C}"/>
            </c:ext>
          </c:extLst>
        </c:ser>
        <c:ser>
          <c:idx val="1"/>
          <c:order val="1"/>
          <c:tx>
            <c:strRef>
              <c:f>Pivots!$I$36</c:f>
              <c:strCache>
                <c:ptCount val="1"/>
                <c:pt idx="0">
                  <c:v>Sel Col</c:v>
                </c:pt>
              </c:strCache>
            </c:strRef>
          </c:tx>
          <c:spPr>
            <a:gradFill>
              <a:gsLst>
                <a:gs pos="0">
                  <a:schemeClr val="accent1">
                    <a:lumMod val="20000"/>
                    <a:lumOff val="80000"/>
                  </a:schemeClr>
                </a:gs>
                <a:gs pos="100000">
                  <a:schemeClr val="accent1"/>
                </a:gs>
              </a:gsLst>
              <a:lin ang="0" scaled="1"/>
            </a:gradFill>
            <a:ln>
              <a:noFill/>
            </a:ln>
            <a:effectLst/>
          </c:spPr>
          <c:invertIfNegative val="0"/>
          <c:val>
            <c:numRef>
              <c:f>Pivots!$I$37:$I$41</c:f>
              <c:numCache>
                <c:formatCode>General</c:formatCode>
                <c:ptCount val="5"/>
                <c:pt idx="0">
                  <c:v>189</c:v>
                </c:pt>
                <c:pt idx="1">
                  <c:v>0</c:v>
                </c:pt>
                <c:pt idx="2">
                  <c:v>0</c:v>
                </c:pt>
                <c:pt idx="3">
                  <c:v>0</c:v>
                </c:pt>
                <c:pt idx="4">
                  <c:v>0</c:v>
                </c:pt>
              </c:numCache>
            </c:numRef>
          </c:val>
          <c:extLst>
            <c:ext xmlns:c16="http://schemas.microsoft.com/office/drawing/2014/chart" uri="{C3380CC4-5D6E-409C-BE32-E72D297353CC}">
              <c16:uniqueId val="{00000003-09C0-433C-851A-4B661E50E46C}"/>
            </c:ext>
          </c:extLst>
        </c:ser>
        <c:dLbls>
          <c:showLegendKey val="0"/>
          <c:showVal val="0"/>
          <c:showCatName val="0"/>
          <c:showSerName val="0"/>
          <c:showPercent val="0"/>
          <c:showBubbleSize val="0"/>
        </c:dLbls>
        <c:gapWidth val="25"/>
        <c:overlap val="100"/>
        <c:axId val="1150670384"/>
        <c:axId val="1150661744"/>
      </c:barChart>
      <c:catAx>
        <c:axId val="11506703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50661744"/>
        <c:crosses val="autoZero"/>
        <c:auto val="1"/>
        <c:lblAlgn val="ctr"/>
        <c:lblOffset val="100"/>
        <c:noMultiLvlLbl val="0"/>
      </c:catAx>
      <c:valAx>
        <c:axId val="1150661744"/>
        <c:scaling>
          <c:orientation val="minMax"/>
          <c:min val="0"/>
        </c:scaling>
        <c:delete val="1"/>
        <c:axPos val="t"/>
        <c:numFmt formatCode="General" sourceLinked="1"/>
        <c:majorTickMark val="none"/>
        <c:minorTickMark val="none"/>
        <c:tickLblPos val="nextTo"/>
        <c:crossAx val="11506703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Male</a:t>
            </a:r>
            <a:r>
              <a:rPr lang="en-IN" b="1" baseline="0"/>
              <a:t> vs </a:t>
            </a:r>
            <a:r>
              <a:rPr lang="en-IN" b="1" baseline="0">
                <a:solidFill>
                  <a:srgbClr val="00B0F0"/>
                </a:solidFill>
              </a:rPr>
              <a:t>Female</a:t>
            </a:r>
            <a:r>
              <a:rPr lang="en-IN" b="1" baseline="0"/>
              <a:t> 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F0"/>
          </a:solidFill>
          <a:ln>
            <a:noFill/>
          </a:ln>
          <a:effectLst/>
        </c:spPr>
        <c:marker>
          <c:symbol val="none"/>
        </c:marker>
        <c:dLbl>
          <c:idx val="0"/>
          <c:spPr>
            <a:solidFill>
              <a:schemeClr val="lt1"/>
            </a:solidFill>
            <a:ln>
              <a:solidFill>
                <a:schemeClr val="bg1">
                  <a:lumMod val="9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lumMod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solidFill>
              <a:schemeClr val="lt1"/>
            </a:solidFill>
            <a:ln>
              <a:solidFill>
                <a:schemeClr val="bg1">
                  <a:lumMod val="9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lumMod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solidFill>
              <a:schemeClr val="lt1"/>
            </a:solidFill>
            <a:ln>
              <a:solidFill>
                <a:schemeClr val="bg1">
                  <a:lumMod val="9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lumMod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Pivots!$B$60:$B$61</c:f>
              <c:strCache>
                <c:ptCount val="1"/>
                <c:pt idx="0">
                  <c:v>Female</c:v>
                </c:pt>
              </c:strCache>
            </c:strRef>
          </c:tx>
          <c:spPr>
            <a:solidFill>
              <a:srgbClr val="00B0F0"/>
            </a:solidFill>
            <a:ln>
              <a:noFill/>
            </a:ln>
            <a:effectLst/>
          </c:spPr>
          <c:invertIfNegative val="0"/>
          <c:dLbls>
            <c:spPr>
              <a:solidFill>
                <a:schemeClr val="lt1"/>
              </a:solidFill>
              <a:ln>
                <a:solidFill>
                  <a:schemeClr val="bg1">
                    <a:lumMod val="9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alpha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Pivots!$B$62:$B$65</c:f>
              <c:numCache>
                <c:formatCode>#,##0</c:formatCode>
                <c:ptCount val="3"/>
                <c:pt idx="0">
                  <c:v>144</c:v>
                </c:pt>
                <c:pt idx="1">
                  <c:v>326</c:v>
                </c:pt>
                <c:pt idx="2">
                  <c:v>129</c:v>
                </c:pt>
              </c:numCache>
            </c:numRef>
          </c:val>
          <c:extLst>
            <c:ext xmlns:c16="http://schemas.microsoft.com/office/drawing/2014/chart" uri="{C3380CC4-5D6E-409C-BE32-E72D297353CC}">
              <c16:uniqueId val="{00000000-0317-478F-9458-390F143A9E26}"/>
            </c:ext>
          </c:extLst>
        </c:ser>
        <c:ser>
          <c:idx val="1"/>
          <c:order val="1"/>
          <c:tx>
            <c:strRef>
              <c:f>Pivots!$C$60:$C$61</c:f>
              <c:strCache>
                <c:ptCount val="1"/>
                <c:pt idx="0">
                  <c:v>Male</c:v>
                </c:pt>
              </c:strCache>
            </c:strRef>
          </c:tx>
          <c:spPr>
            <a:solidFill>
              <a:schemeClr val="accent1">
                <a:lumMod val="75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Pivots!$C$62:$C$65</c:f>
              <c:numCache>
                <c:formatCode>#,##0</c:formatCode>
                <c:ptCount val="3"/>
                <c:pt idx="0">
                  <c:v>132</c:v>
                </c:pt>
                <c:pt idx="1">
                  <c:v>63</c:v>
                </c:pt>
                <c:pt idx="2">
                  <c:v>206</c:v>
                </c:pt>
              </c:numCache>
            </c:numRef>
          </c:val>
          <c:extLst>
            <c:ext xmlns:c16="http://schemas.microsoft.com/office/drawing/2014/chart" uri="{C3380CC4-5D6E-409C-BE32-E72D297353CC}">
              <c16:uniqueId val="{00000001-0317-478F-9458-390F143A9E26}"/>
            </c:ext>
          </c:extLst>
        </c:ser>
        <c:dLbls>
          <c:showLegendKey val="0"/>
          <c:showVal val="0"/>
          <c:showCatName val="0"/>
          <c:showSerName val="0"/>
          <c:showPercent val="0"/>
          <c:showBubbleSize val="0"/>
        </c:dLbls>
        <c:gapWidth val="25"/>
        <c:overlap val="100"/>
        <c:axId val="609433056"/>
        <c:axId val="609435456"/>
      </c:barChart>
      <c:catAx>
        <c:axId val="60943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35456"/>
        <c:crosses val="autoZero"/>
        <c:auto val="1"/>
        <c:lblAlgn val="ctr"/>
        <c:lblOffset val="100"/>
        <c:noMultiLvlLbl val="0"/>
      </c:catAx>
      <c:valAx>
        <c:axId val="6094354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0943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[Dashboard1.xlsx]Pivots!rep rating</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Rep</a:t>
            </a:r>
            <a:r>
              <a:rPr lang="en-US" b="1" baseline="0"/>
              <a:t> Rating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Pivots!$B$75</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Pivots!$A$76:$A$82</c:f>
              <c:strCache>
                <c:ptCount val="6"/>
                <c:pt idx="0">
                  <c:v>0</c:v>
                </c:pt>
                <c:pt idx="1">
                  <c:v>1</c:v>
                </c:pt>
                <c:pt idx="2">
                  <c:v>2</c:v>
                </c:pt>
                <c:pt idx="3">
                  <c:v>3</c:v>
                </c:pt>
                <c:pt idx="4">
                  <c:v>4</c:v>
                </c:pt>
                <c:pt idx="5">
                  <c:v>5</c:v>
                </c:pt>
              </c:strCache>
            </c:strRef>
          </c:cat>
          <c:val>
            <c:numRef>
              <c:f>Pivots!$B$76:$B$82</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1-BB83-4D9C-84CE-075E7B854A17}"/>
            </c:ext>
          </c:extLst>
        </c:ser>
        <c:dLbls>
          <c:showLegendKey val="0"/>
          <c:showVal val="0"/>
          <c:showCatName val="0"/>
          <c:showSerName val="0"/>
          <c:showPercent val="0"/>
          <c:showBubbleSize val="0"/>
        </c:dLbls>
        <c:gapWidth val="10"/>
        <c:overlap val="-27"/>
        <c:axId val="1832052320"/>
        <c:axId val="1832052800"/>
      </c:barChart>
      <c:catAx>
        <c:axId val="183205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052800"/>
        <c:crosses val="autoZero"/>
        <c:auto val="1"/>
        <c:lblAlgn val="ctr"/>
        <c:lblOffset val="100"/>
        <c:tickLblSkip val="1"/>
        <c:noMultiLvlLbl val="0"/>
      </c:catAx>
      <c:valAx>
        <c:axId val="1832052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05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Calls</a:t>
            </a:r>
          </a:p>
        </c:rich>
      </c:tx>
      <c:layout>
        <c:manualLayout>
          <c:xMode val="edge"/>
          <c:yMode val="edge"/>
          <c:x val="2.8669512781246808E-2"/>
          <c:y val="4.8458157250323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57622534378119"/>
          <c:y val="0.19970145026827932"/>
          <c:w val="0.85576075514139438"/>
          <c:h val="0.67539351584916663"/>
        </c:manualLayout>
      </c:layout>
      <c:barChart>
        <c:barDir val="bar"/>
        <c:grouping val="clustered"/>
        <c:varyColors val="0"/>
        <c:ser>
          <c:idx val="0"/>
          <c:order val="0"/>
          <c:spPr>
            <a:solidFill>
              <a:schemeClr val="bg1">
                <a:lumMod val="85000"/>
              </a:schemeClr>
            </a:solidFill>
            <a:ln>
              <a:noFill/>
            </a:ln>
            <a:effectLst/>
          </c:spPr>
          <c:invertIfNegative val="0"/>
          <c:dPt>
            <c:idx val="4"/>
            <c:invertIfNegative val="0"/>
            <c:bubble3D val="0"/>
            <c:spPr>
              <a:solidFill>
                <a:schemeClr val="bg1">
                  <a:lumMod val="85000"/>
                </a:schemeClr>
              </a:solidFill>
              <a:ln>
                <a:gradFill>
                  <a:gsLst>
                    <a:gs pos="0">
                      <a:schemeClr val="accent1">
                        <a:lumMod val="20000"/>
                        <a:lumOff val="80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56FD-4D4F-97AD-8ADAC271D5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Pivots!$G$37:$G$41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6FD-4D4F-97AD-8ADAC271D529}"/>
            </c:ext>
          </c:extLst>
        </c:ser>
        <c:ser>
          <c:idx val="1"/>
          <c:order val="1"/>
          <c:tx>
            <c:strRef>
              <c:f>Pivots!$I$36</c:f>
              <c:strCache>
                <c:ptCount val="1"/>
                <c:pt idx="0">
                  <c:v>Sel Col</c:v>
                </c:pt>
              </c:strCache>
            </c:strRef>
          </c:tx>
          <c:spPr>
            <a:gradFill>
              <a:gsLst>
                <a:gs pos="0">
                  <a:schemeClr val="accent1">
                    <a:lumMod val="20000"/>
                    <a:lumOff val="80000"/>
                  </a:schemeClr>
                </a:gs>
                <a:gs pos="100000">
                  <a:schemeClr val="accent1"/>
                </a:gs>
              </a:gsLst>
              <a:lin ang="0" scaled="1"/>
            </a:gradFill>
            <a:ln>
              <a:noFill/>
            </a:ln>
            <a:effectLst/>
          </c:spPr>
          <c:invertIfNegative val="0"/>
          <c:val>
            <c:numRef>
              <c:f>Pivots!$I$37:$I$41</c:f>
              <c:numCache>
                <c:formatCode>General</c:formatCode>
                <c:ptCount val="5"/>
                <c:pt idx="0">
                  <c:v>189</c:v>
                </c:pt>
                <c:pt idx="1">
                  <c:v>0</c:v>
                </c:pt>
                <c:pt idx="2">
                  <c:v>0</c:v>
                </c:pt>
                <c:pt idx="3">
                  <c:v>0</c:v>
                </c:pt>
                <c:pt idx="4">
                  <c:v>0</c:v>
                </c:pt>
              </c:numCache>
            </c:numRef>
          </c:val>
          <c:extLst>
            <c:ext xmlns:c16="http://schemas.microsoft.com/office/drawing/2014/chart" uri="{C3380CC4-5D6E-409C-BE32-E72D297353CC}">
              <c16:uniqueId val="{00000002-56FD-4D4F-97AD-8ADAC271D529}"/>
            </c:ext>
          </c:extLst>
        </c:ser>
        <c:dLbls>
          <c:showLegendKey val="0"/>
          <c:showVal val="0"/>
          <c:showCatName val="0"/>
          <c:showSerName val="0"/>
          <c:showPercent val="0"/>
          <c:showBubbleSize val="0"/>
        </c:dLbls>
        <c:gapWidth val="25"/>
        <c:overlap val="100"/>
        <c:axId val="1150670384"/>
        <c:axId val="1150661744"/>
      </c:barChart>
      <c:catAx>
        <c:axId val="11506703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1744"/>
        <c:crosses val="autoZero"/>
        <c:auto val="1"/>
        <c:lblAlgn val="ctr"/>
        <c:lblOffset val="100"/>
        <c:noMultiLvlLbl val="0"/>
      </c:catAx>
      <c:valAx>
        <c:axId val="1150661744"/>
        <c:scaling>
          <c:orientation val="minMax"/>
          <c:min val="0"/>
        </c:scaling>
        <c:delete val="1"/>
        <c:axPos val="t"/>
        <c:numFmt formatCode="General" sourceLinked="1"/>
        <c:majorTickMark val="none"/>
        <c:minorTickMark val="none"/>
        <c:tickLblPos val="nextTo"/>
        <c:crossAx val="1150670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Amount</a:t>
            </a:r>
          </a:p>
        </c:rich>
      </c:tx>
      <c:layout>
        <c:manualLayout>
          <c:xMode val="edge"/>
          <c:yMode val="edge"/>
          <c:x val="1.9599987299817403E-2"/>
          <c:y val="4.9180327868852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Pivots!$H$37:$H$41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A0B-41BD-93F0-9E0E5FBDF2EA}"/>
            </c:ext>
          </c:extLst>
        </c:ser>
        <c:ser>
          <c:idx val="1"/>
          <c:order val="1"/>
          <c:tx>
            <c:strRef>
              <c:f>Pivots!$J$36</c:f>
              <c:strCache>
                <c:ptCount val="1"/>
                <c:pt idx="0">
                  <c:v>Sel Am</c:v>
                </c:pt>
              </c:strCache>
            </c:strRef>
          </c:tx>
          <c:spPr>
            <a:gradFill>
              <a:gsLst>
                <a:gs pos="0">
                  <a:schemeClr val="accent1">
                    <a:lumMod val="75000"/>
                  </a:schemeClr>
                </a:gs>
                <a:gs pos="100000">
                  <a:schemeClr val="accent1"/>
                </a:gs>
              </a:gsLst>
              <a:lin ang="13500000" scaled="1"/>
            </a:gradFill>
            <a:ln>
              <a:noFill/>
            </a:ln>
            <a:effectLst/>
          </c:spPr>
          <c:invertIfNegative val="0"/>
          <c:val>
            <c:numRef>
              <c:f>Pivots!$J$37:$J$41</c:f>
              <c:numCache>
                <c:formatCode>General</c:formatCode>
                <c:ptCount val="5"/>
                <c:pt idx="0">
                  <c:v>18415</c:v>
                </c:pt>
                <c:pt idx="1">
                  <c:v>0</c:v>
                </c:pt>
                <c:pt idx="2">
                  <c:v>0</c:v>
                </c:pt>
                <c:pt idx="3">
                  <c:v>0</c:v>
                </c:pt>
                <c:pt idx="4">
                  <c:v>0</c:v>
                </c:pt>
              </c:numCache>
            </c:numRef>
          </c:val>
          <c:extLst>
            <c:ext xmlns:c16="http://schemas.microsoft.com/office/drawing/2014/chart" uri="{C3380CC4-5D6E-409C-BE32-E72D297353CC}">
              <c16:uniqueId val="{00000002-BA0B-41BD-93F0-9E0E5FBDF2EA}"/>
            </c:ext>
          </c:extLst>
        </c:ser>
        <c:dLbls>
          <c:showLegendKey val="0"/>
          <c:showVal val="0"/>
          <c:showCatName val="0"/>
          <c:showSerName val="0"/>
          <c:showPercent val="0"/>
          <c:showBubbleSize val="0"/>
        </c:dLbls>
        <c:gapWidth val="25"/>
        <c:overlap val="100"/>
        <c:axId val="2116918880"/>
        <c:axId val="2116903520"/>
      </c:barChart>
      <c:catAx>
        <c:axId val="21169188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03520"/>
        <c:crosses val="autoZero"/>
        <c:auto val="1"/>
        <c:lblAlgn val="ctr"/>
        <c:lblOffset val="100"/>
        <c:noMultiLvlLbl val="0"/>
      </c:catAx>
      <c:valAx>
        <c:axId val="2116903520"/>
        <c:scaling>
          <c:orientation val="minMax"/>
        </c:scaling>
        <c:delete val="1"/>
        <c:axPos val="t"/>
        <c:numFmt formatCode="\$#,###.0,&quot;K&quot;" sourceLinked="1"/>
        <c:majorTickMark val="out"/>
        <c:minorTickMark val="none"/>
        <c:tickLblPos val="nextTo"/>
        <c:crossAx val="2116918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[Dashboard1.xlsx]Pivots!Monthly trend</c:name>
    <c:fmtId val="34"/>
  </c:pivotSource>
  <c:chart>
    <c:autoTitleDeleted val="0"/>
    <c:pivotFmts>
      <c:pivotFmt>
        <c:idx val="0"/>
        <c:spPr>
          <a:ln w="28575" cap="rnd">
            <a:solidFill>
              <a:schemeClr val="bg1">
                <a:lumMod val="75000"/>
              </a:schemeClr>
            </a:solidFill>
            <a:round/>
          </a:ln>
          <a:effectLst/>
        </c:spPr>
        <c:marker>
          <c:symbol val="circle"/>
          <c:size val="6"/>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5000"/>
                  <a:lumOff val="45000"/>
                  <a:alpha val="70000"/>
                </a:schemeClr>
              </a:gs>
              <a:gs pos="100000">
                <a:schemeClr val="accent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Pivots!$C$15</c:f>
              <c:strCache>
                <c:ptCount val="1"/>
                <c:pt idx="0">
                  <c:v>Call Count2</c:v>
                </c:pt>
              </c:strCache>
            </c:strRef>
          </c:tx>
          <c:spPr>
            <a:gradFill flip="none" rotWithShape="1">
              <a:gsLst>
                <a:gs pos="0">
                  <a:schemeClr val="accent1">
                    <a:lumMod val="55000"/>
                    <a:lumOff val="45000"/>
                    <a:alpha val="70000"/>
                  </a:schemeClr>
                </a:gs>
                <a:gs pos="100000">
                  <a:schemeClr val="accent1"/>
                </a:gs>
              </a:gsLst>
              <a:lin ang="16200000" scaled="1"/>
              <a:tileRect/>
            </a:gradFill>
            <a:ln>
              <a:noFill/>
            </a:ln>
            <a:effectLst/>
          </c:spP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Pivots!$C$16:$C$28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1-E56A-4F23-8609-502AD3F2DDB2}"/>
            </c:ext>
          </c:extLst>
        </c:ser>
        <c:dLbls>
          <c:showLegendKey val="0"/>
          <c:showVal val="0"/>
          <c:showCatName val="0"/>
          <c:showSerName val="0"/>
          <c:showPercent val="0"/>
          <c:showBubbleSize val="0"/>
        </c:dLbls>
        <c:axId val="1588503696"/>
        <c:axId val="1588504656"/>
      </c:areaChart>
      <c:lineChart>
        <c:grouping val="standard"/>
        <c:varyColors val="0"/>
        <c:ser>
          <c:idx val="0"/>
          <c:order val="0"/>
          <c:tx>
            <c:strRef>
              <c:f>Pivots!$B$15</c:f>
              <c:strCache>
                <c:ptCount val="1"/>
                <c:pt idx="0">
                  <c:v>Call Count</c:v>
                </c:pt>
              </c:strCache>
            </c:strRef>
          </c:tx>
          <c:spPr>
            <a:ln w="28575" cap="rnd">
              <a:solidFill>
                <a:schemeClr val="bg1">
                  <a:lumMod val="75000"/>
                </a:schemeClr>
              </a:solidFill>
              <a:round/>
            </a:ln>
            <a:effectLst/>
          </c:spPr>
          <c:marker>
            <c:symbol val="circle"/>
            <c:size val="6"/>
            <c:spPr>
              <a:solidFill>
                <a:schemeClr val="accent1">
                  <a:lumMod val="20000"/>
                  <a:lumOff val="80000"/>
                </a:schemeClr>
              </a:solidFill>
              <a:ln w="9525">
                <a:solidFill>
                  <a:schemeClr val="accent1"/>
                </a:solidFill>
              </a:ln>
              <a:effectLst/>
            </c:spPr>
          </c:marke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Pivots!$B$16:$B$28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E56A-4F23-8609-502AD3F2DDB2}"/>
            </c:ext>
          </c:extLst>
        </c:ser>
        <c:dLbls>
          <c:showLegendKey val="0"/>
          <c:showVal val="0"/>
          <c:showCatName val="0"/>
          <c:showSerName val="0"/>
          <c:showPercent val="0"/>
          <c:showBubbleSize val="0"/>
        </c:dLbls>
        <c:marker val="1"/>
        <c:smooth val="0"/>
        <c:axId val="1588503696"/>
        <c:axId val="1588504656"/>
      </c:lineChart>
      <c:catAx>
        <c:axId val="15885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04656"/>
        <c:crosses val="autoZero"/>
        <c:auto val="1"/>
        <c:lblAlgn val="ctr"/>
        <c:lblOffset val="100"/>
        <c:noMultiLvlLbl val="0"/>
      </c:catAx>
      <c:valAx>
        <c:axId val="1588504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0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Male</a:t>
            </a:r>
            <a:r>
              <a:rPr lang="en-IN" b="1" baseline="0"/>
              <a:t> vs </a:t>
            </a:r>
            <a:r>
              <a:rPr lang="en-IN" b="1" baseline="0">
                <a:solidFill>
                  <a:srgbClr val="00B0F0"/>
                </a:solidFill>
              </a:rPr>
              <a:t>Female</a:t>
            </a:r>
            <a:r>
              <a:rPr lang="en-IN" b="1" baseline="0"/>
              <a:t> 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solidFill>
              <a:schemeClr val="lt1"/>
            </a:solidFill>
            <a:ln>
              <a:solidFill>
                <a:schemeClr val="bg1">
                  <a:lumMod val="9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lumMod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Pivots!$B$60:$B$61</c:f>
              <c:strCache>
                <c:ptCount val="1"/>
                <c:pt idx="0">
                  <c:v>Female</c:v>
                </c:pt>
              </c:strCache>
            </c:strRef>
          </c:tx>
          <c:spPr>
            <a:solidFill>
              <a:srgbClr val="00B0F0"/>
            </a:solidFill>
            <a:ln>
              <a:noFill/>
            </a:ln>
            <a:effectLst/>
          </c:spPr>
          <c:invertIfNegative val="0"/>
          <c:dLbls>
            <c:spPr>
              <a:solidFill>
                <a:schemeClr val="lt1"/>
              </a:solidFill>
              <a:ln>
                <a:solidFill>
                  <a:schemeClr val="bg1">
                    <a:lumMod val="9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alpha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Pivots!$B$62:$B$65</c:f>
              <c:numCache>
                <c:formatCode>#,##0</c:formatCode>
                <c:ptCount val="3"/>
                <c:pt idx="0">
                  <c:v>144</c:v>
                </c:pt>
                <c:pt idx="1">
                  <c:v>326</c:v>
                </c:pt>
                <c:pt idx="2">
                  <c:v>129</c:v>
                </c:pt>
              </c:numCache>
            </c:numRef>
          </c:val>
          <c:extLst>
            <c:ext xmlns:c16="http://schemas.microsoft.com/office/drawing/2014/chart" uri="{C3380CC4-5D6E-409C-BE32-E72D297353CC}">
              <c16:uniqueId val="{00000000-F85D-42C8-8E0B-D7C5A7EF106B}"/>
            </c:ext>
          </c:extLst>
        </c:ser>
        <c:ser>
          <c:idx val="1"/>
          <c:order val="1"/>
          <c:tx>
            <c:strRef>
              <c:f>Pivots!$C$60:$C$61</c:f>
              <c:strCache>
                <c:ptCount val="1"/>
                <c:pt idx="0">
                  <c:v>Male</c:v>
                </c:pt>
              </c:strCache>
            </c:strRef>
          </c:tx>
          <c:spPr>
            <a:solidFill>
              <a:schemeClr val="accent1">
                <a:lumMod val="75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Pivots!$C$62:$C$65</c:f>
              <c:numCache>
                <c:formatCode>#,##0</c:formatCode>
                <c:ptCount val="3"/>
                <c:pt idx="0">
                  <c:v>132</c:v>
                </c:pt>
                <c:pt idx="1">
                  <c:v>63</c:v>
                </c:pt>
                <c:pt idx="2">
                  <c:v>206</c:v>
                </c:pt>
              </c:numCache>
            </c:numRef>
          </c:val>
          <c:extLst>
            <c:ext xmlns:c16="http://schemas.microsoft.com/office/drawing/2014/chart" uri="{C3380CC4-5D6E-409C-BE32-E72D297353CC}">
              <c16:uniqueId val="{00000001-F85D-42C8-8E0B-D7C5A7EF106B}"/>
            </c:ext>
          </c:extLst>
        </c:ser>
        <c:dLbls>
          <c:showLegendKey val="0"/>
          <c:showVal val="0"/>
          <c:showCatName val="0"/>
          <c:showSerName val="0"/>
          <c:showPercent val="0"/>
          <c:showBubbleSize val="0"/>
        </c:dLbls>
        <c:gapWidth val="25"/>
        <c:overlap val="100"/>
        <c:axId val="609433056"/>
        <c:axId val="609435456"/>
      </c:barChart>
      <c:catAx>
        <c:axId val="60943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35456"/>
        <c:crosses val="autoZero"/>
        <c:auto val="1"/>
        <c:lblAlgn val="ctr"/>
        <c:lblOffset val="100"/>
        <c:noMultiLvlLbl val="0"/>
      </c:catAx>
      <c:valAx>
        <c:axId val="6094354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0943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[Dashboard1.xlsx]Pivots!rep rating</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Rep</a:t>
            </a:r>
            <a:r>
              <a:rPr lang="en-US" b="1" baseline="0"/>
              <a:t> Rating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Pivots!$B$75</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Pivots!$A$76:$A$82</c:f>
              <c:strCache>
                <c:ptCount val="6"/>
                <c:pt idx="0">
                  <c:v>0</c:v>
                </c:pt>
                <c:pt idx="1">
                  <c:v>1</c:v>
                </c:pt>
                <c:pt idx="2">
                  <c:v>2</c:v>
                </c:pt>
                <c:pt idx="3">
                  <c:v>3</c:v>
                </c:pt>
                <c:pt idx="4">
                  <c:v>4</c:v>
                </c:pt>
                <c:pt idx="5">
                  <c:v>5</c:v>
                </c:pt>
              </c:strCache>
            </c:strRef>
          </c:cat>
          <c:val>
            <c:numRef>
              <c:f>Pivots!$B$76:$B$82</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946C-4CFC-BEE4-6C231F35778A}"/>
            </c:ext>
          </c:extLst>
        </c:ser>
        <c:dLbls>
          <c:showLegendKey val="0"/>
          <c:showVal val="0"/>
          <c:showCatName val="0"/>
          <c:showSerName val="0"/>
          <c:showPercent val="0"/>
          <c:showBubbleSize val="0"/>
        </c:dLbls>
        <c:gapWidth val="10"/>
        <c:overlap val="-27"/>
        <c:axId val="1832052320"/>
        <c:axId val="1832052800"/>
      </c:barChart>
      <c:catAx>
        <c:axId val="183205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052800"/>
        <c:crosses val="autoZero"/>
        <c:auto val="1"/>
        <c:lblAlgn val="ctr"/>
        <c:lblOffset val="100"/>
        <c:noMultiLvlLbl val="0"/>
      </c:catAx>
      <c:valAx>
        <c:axId val="1832052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05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chart" Target="../charts/chart3.xml"/><Relationship Id="rId3" Type="http://schemas.openxmlformats.org/officeDocument/2006/relationships/image" Target="../media/image8.svg"/><Relationship Id="rId7" Type="http://schemas.openxmlformats.org/officeDocument/2006/relationships/image" Target="../media/image12.svg"/><Relationship Id="rId12" Type="http://schemas.openxmlformats.org/officeDocument/2006/relationships/chart" Target="../charts/chart2.xml"/><Relationship Id="rId2" Type="http://schemas.openxmlformats.org/officeDocument/2006/relationships/image" Target="../media/image7.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1.png"/><Relationship Id="rId11" Type="http://schemas.openxmlformats.org/officeDocument/2006/relationships/image" Target="../media/image16.svg"/><Relationship Id="rId5" Type="http://schemas.openxmlformats.org/officeDocument/2006/relationships/image" Target="../media/image10.svg"/><Relationship Id="rId15" Type="http://schemas.openxmlformats.org/officeDocument/2006/relationships/chart" Target="../charts/chart5.xml"/><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24.svg"/><Relationship Id="rId3" Type="http://schemas.openxmlformats.org/officeDocument/2006/relationships/image" Target="../media/image19.png"/><Relationship Id="rId7" Type="http://schemas.openxmlformats.org/officeDocument/2006/relationships/image" Target="../media/image23.png"/><Relationship Id="rId12" Type="http://schemas.openxmlformats.org/officeDocument/2006/relationships/image" Target="../media/image28.svg"/><Relationship Id="rId2" Type="http://schemas.openxmlformats.org/officeDocument/2006/relationships/image" Target="../media/image18.svg"/><Relationship Id="rId1" Type="http://schemas.openxmlformats.org/officeDocument/2006/relationships/image" Target="../media/image17.png"/><Relationship Id="rId6" Type="http://schemas.openxmlformats.org/officeDocument/2006/relationships/image" Target="../media/image22.svg"/><Relationship Id="rId11" Type="http://schemas.openxmlformats.org/officeDocument/2006/relationships/image" Target="../media/image27.png"/><Relationship Id="rId5" Type="http://schemas.openxmlformats.org/officeDocument/2006/relationships/image" Target="../media/image21.png"/><Relationship Id="rId10" Type="http://schemas.openxmlformats.org/officeDocument/2006/relationships/image" Target="../media/image26.svg"/><Relationship Id="rId4" Type="http://schemas.openxmlformats.org/officeDocument/2006/relationships/image" Target="../media/image20.svg"/><Relationship Id="rId9"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17</xdr:col>
      <xdr:colOff>507546</xdr:colOff>
      <xdr:row>20</xdr:row>
      <xdr:rowOff>13607</xdr:rowOff>
    </xdr:from>
    <xdr:to>
      <xdr:col>19</xdr:col>
      <xdr:colOff>466725</xdr:colOff>
      <xdr:row>29</xdr:row>
      <xdr:rowOff>28576</xdr:rowOff>
    </xdr:to>
    <mc:AlternateContent xmlns:mc="http://schemas.openxmlformats.org/markup-compatibility/2006">
      <mc:Choice xmlns:a14="http://schemas.microsoft.com/office/drawing/2010/main" Requires="a14">
        <xdr:graphicFrame macro="">
          <xdr:nvGraphicFramePr>
            <xdr:cNvPr id="139" name="Representative">
              <a:extLst>
                <a:ext uri="{FF2B5EF4-FFF2-40B4-BE49-F238E27FC236}">
                  <a16:creationId xmlns:a16="http://schemas.microsoft.com/office/drawing/2014/main" id="{F8024D18-A4CA-41AE-81FF-DAF4B481FD1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0070646" y="3633107"/>
              <a:ext cx="1178379" cy="1796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514350</xdr:colOff>
      <xdr:row>19</xdr:row>
      <xdr:rowOff>47625</xdr:rowOff>
    </xdr:from>
    <xdr:to>
      <xdr:col>17</xdr:col>
      <xdr:colOff>542925</xdr:colOff>
      <xdr:row>38</xdr:row>
      <xdr:rowOff>38100</xdr:rowOff>
    </xdr:to>
    <xdr:sp macro="" textlink="">
      <xdr:nvSpPr>
        <xdr:cNvPr id="15" name="Rectangle 14">
          <a:extLst>
            <a:ext uri="{FF2B5EF4-FFF2-40B4-BE49-F238E27FC236}">
              <a16:creationId xmlns:a16="http://schemas.microsoft.com/office/drawing/2014/main" id="{37A039CF-C640-D94D-B3DF-BE4AD944759B}"/>
            </a:ext>
          </a:extLst>
        </xdr:cNvPr>
        <xdr:cNvSpPr/>
      </xdr:nvSpPr>
      <xdr:spPr>
        <a:xfrm>
          <a:off x="2152650" y="3486150"/>
          <a:ext cx="7953375" cy="3429000"/>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200025</xdr:colOff>
      <xdr:row>21</xdr:row>
      <xdr:rowOff>38100</xdr:rowOff>
    </xdr:from>
    <xdr:to>
      <xdr:col>17</xdr:col>
      <xdr:colOff>258907</xdr:colOff>
      <xdr:row>36</xdr:row>
      <xdr:rowOff>114300</xdr:rowOff>
    </xdr:to>
    <xdr:graphicFrame macro="">
      <xdr:nvGraphicFramePr>
        <xdr:cNvPr id="14" name="Chart 13">
          <a:extLst>
            <a:ext uri="{FF2B5EF4-FFF2-40B4-BE49-F238E27FC236}">
              <a16:creationId xmlns:a16="http://schemas.microsoft.com/office/drawing/2014/main" id="{92875324-E49E-400A-A8C0-0F2EFE508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169332</xdr:colOff>
      <xdr:row>3</xdr:row>
      <xdr:rowOff>152400</xdr:rowOff>
    </xdr:from>
    <xdr:to>
      <xdr:col>4</xdr:col>
      <xdr:colOff>287867</xdr:colOff>
      <xdr:row>10</xdr:row>
      <xdr:rowOff>33866</xdr:rowOff>
    </xdr:to>
    <xdr:sp macro="" textlink="">
      <xdr:nvSpPr>
        <xdr:cNvPr id="2" name="Rectangle 1">
          <a:extLst>
            <a:ext uri="{FF2B5EF4-FFF2-40B4-BE49-F238E27FC236}">
              <a16:creationId xmlns:a16="http://schemas.microsoft.com/office/drawing/2014/main" id="{66152110-D324-84B6-4502-4C9880B9AE82}"/>
            </a:ext>
          </a:extLst>
        </xdr:cNvPr>
        <xdr:cNvSpPr/>
      </xdr:nvSpPr>
      <xdr:spPr>
        <a:xfrm>
          <a:off x="423332" y="711200"/>
          <a:ext cx="1507068" cy="1185333"/>
        </a:xfrm>
        <a:prstGeom prst="rect">
          <a:avLst/>
        </a:prstGeom>
        <a:ln>
          <a:noFill/>
        </a:ln>
        <a:effectLst>
          <a:outerShdw blurRad="254000" dist="127000" algn="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lumMod val="95000"/>
                </a:schemeClr>
              </a:solidFill>
              <a:latin typeface="+mn-lt"/>
            </a:rPr>
            <a:t>1,000</a:t>
          </a:r>
        </a:p>
      </xdr:txBody>
    </xdr:sp>
    <xdr:clientData/>
  </xdr:twoCellAnchor>
  <xdr:twoCellAnchor>
    <xdr:from>
      <xdr:col>2</xdr:col>
      <xdr:colOff>262466</xdr:colOff>
      <xdr:row>3</xdr:row>
      <xdr:rowOff>169332</xdr:rowOff>
    </xdr:from>
    <xdr:to>
      <xdr:col>4</xdr:col>
      <xdr:colOff>59266</xdr:colOff>
      <xdr:row>5</xdr:row>
      <xdr:rowOff>118534</xdr:rowOff>
    </xdr:to>
    <xdr:sp macro="" textlink="">
      <xdr:nvSpPr>
        <xdr:cNvPr id="3" name="TextBox 2">
          <a:extLst>
            <a:ext uri="{FF2B5EF4-FFF2-40B4-BE49-F238E27FC236}">
              <a16:creationId xmlns:a16="http://schemas.microsoft.com/office/drawing/2014/main" id="{B9AE5B38-260C-00A0-CB69-60EA98F3C819}"/>
            </a:ext>
          </a:extLst>
        </xdr:cNvPr>
        <xdr:cNvSpPr txBox="1"/>
      </xdr:nvSpPr>
      <xdr:spPr>
        <a:xfrm>
          <a:off x="685799" y="728132"/>
          <a:ext cx="1016000" cy="321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95000"/>
                </a:schemeClr>
              </a:solidFill>
              <a:latin typeface="+mn-lt"/>
            </a:rPr>
            <a:t>Calls</a:t>
          </a:r>
          <a:r>
            <a:rPr lang="en-IN" sz="1200">
              <a:latin typeface="+mn-lt"/>
            </a:rPr>
            <a:t>	</a:t>
          </a:r>
        </a:p>
      </xdr:txBody>
    </xdr:sp>
    <xdr:clientData/>
  </xdr:twoCellAnchor>
  <xdr:twoCellAnchor editAs="oneCell">
    <xdr:from>
      <xdr:col>2</xdr:col>
      <xdr:colOff>42333</xdr:colOff>
      <xdr:row>4</xdr:row>
      <xdr:rowOff>1</xdr:rowOff>
    </xdr:from>
    <xdr:to>
      <xdr:col>2</xdr:col>
      <xdr:colOff>394085</xdr:colOff>
      <xdr:row>5</xdr:row>
      <xdr:rowOff>152401</xdr:rowOff>
    </xdr:to>
    <xdr:pic>
      <xdr:nvPicPr>
        <xdr:cNvPr id="4" name="Graphic 3" descr="Receiver with solid fill">
          <a:extLst>
            <a:ext uri="{FF2B5EF4-FFF2-40B4-BE49-F238E27FC236}">
              <a16:creationId xmlns:a16="http://schemas.microsoft.com/office/drawing/2014/main" id="{AC2C4B4D-3FB9-480F-8461-37F0948CAD1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65666" y="745068"/>
          <a:ext cx="351752" cy="338666"/>
        </a:xfrm>
        <a:prstGeom prst="rect">
          <a:avLst/>
        </a:prstGeom>
      </xdr:spPr>
    </xdr:pic>
    <xdr:clientData/>
  </xdr:twoCellAnchor>
  <xdr:twoCellAnchor>
    <xdr:from>
      <xdr:col>2</xdr:col>
      <xdr:colOff>347133</xdr:colOff>
      <xdr:row>7</xdr:row>
      <xdr:rowOff>160867</xdr:rowOff>
    </xdr:from>
    <xdr:to>
      <xdr:col>3</xdr:col>
      <xdr:colOff>575734</xdr:colOff>
      <xdr:row>9</xdr:row>
      <xdr:rowOff>160868</xdr:rowOff>
    </xdr:to>
    <xdr:sp macro="" textlink="Pivots!A10">
      <xdr:nvSpPr>
        <xdr:cNvPr id="6" name="TextBox 5">
          <a:extLst>
            <a:ext uri="{FF2B5EF4-FFF2-40B4-BE49-F238E27FC236}">
              <a16:creationId xmlns:a16="http://schemas.microsoft.com/office/drawing/2014/main" id="{B60FEA50-FEC7-4C58-6A35-043D95911654}"/>
            </a:ext>
          </a:extLst>
        </xdr:cNvPr>
        <xdr:cNvSpPr txBox="1"/>
      </xdr:nvSpPr>
      <xdr:spPr>
        <a:xfrm>
          <a:off x="770466" y="1464734"/>
          <a:ext cx="838201"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58809C-3654-4A22-AD8D-9298F87C19AA}" type="TxLink">
            <a:rPr lang="en-US" sz="1100" b="1" i="0" u="none" strike="noStrike">
              <a:ln>
                <a:noFill/>
              </a:ln>
              <a:solidFill>
                <a:schemeClr val="bg1">
                  <a:lumMod val="95000"/>
                </a:schemeClr>
              </a:solidFill>
              <a:latin typeface="+mn-lt"/>
              <a:ea typeface="Calibri"/>
              <a:cs typeface="Calibri"/>
            </a:rPr>
            <a:pPr algn="ctr"/>
            <a:t>1,000</a:t>
          </a:fld>
          <a:endParaRPr lang="en-IN" sz="1100" b="1">
            <a:ln>
              <a:noFill/>
            </a:ln>
            <a:solidFill>
              <a:schemeClr val="bg1">
                <a:lumMod val="95000"/>
              </a:schemeClr>
            </a:solidFill>
            <a:latin typeface="+mn-lt"/>
          </a:endParaRPr>
        </a:p>
      </xdr:txBody>
    </xdr:sp>
    <xdr:clientData/>
  </xdr:twoCellAnchor>
  <xdr:twoCellAnchor>
    <xdr:from>
      <xdr:col>2</xdr:col>
      <xdr:colOff>0</xdr:colOff>
      <xdr:row>11</xdr:row>
      <xdr:rowOff>0</xdr:rowOff>
    </xdr:from>
    <xdr:to>
      <xdr:col>4</xdr:col>
      <xdr:colOff>287868</xdr:colOff>
      <xdr:row>17</xdr:row>
      <xdr:rowOff>67733</xdr:rowOff>
    </xdr:to>
    <xdr:sp macro="" textlink="Pivots!B4">
      <xdr:nvSpPr>
        <xdr:cNvPr id="118" name="Rectangle 117">
          <a:extLst>
            <a:ext uri="{FF2B5EF4-FFF2-40B4-BE49-F238E27FC236}">
              <a16:creationId xmlns:a16="http://schemas.microsoft.com/office/drawing/2014/main" id="{A47E2C08-D718-4FC0-8954-367EE1BC8906}"/>
            </a:ext>
          </a:extLst>
        </xdr:cNvPr>
        <xdr:cNvSpPr/>
      </xdr:nvSpPr>
      <xdr:spPr>
        <a:xfrm>
          <a:off x="413657" y="2035629"/>
          <a:ext cx="1507068" cy="1178075"/>
        </a:xfrm>
        <a:prstGeom prst="rect">
          <a:avLst/>
        </a:prstGeom>
        <a:ln>
          <a:noFill/>
        </a:ln>
        <a:effectLst>
          <a:outerShdw blurRad="254000" dist="127000" algn="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0BD6D87-4DF0-4723-A33B-FC0D85E940D3}" type="TxLink">
            <a:rPr lang="en-US" sz="2400" b="1">
              <a:solidFill>
                <a:schemeClr val="bg1">
                  <a:lumMod val="95000"/>
                </a:schemeClr>
              </a:solidFill>
              <a:latin typeface="+mn-lt"/>
              <a:ea typeface="+mn-ea"/>
              <a:cs typeface="+mn-cs"/>
            </a:rPr>
            <a:pPr marL="0" indent="0" algn="ctr"/>
            <a:t>$96,623</a:t>
          </a:fld>
          <a:endParaRPr lang="en-US" sz="2400" b="1">
            <a:solidFill>
              <a:schemeClr val="bg1">
                <a:lumMod val="95000"/>
              </a:schemeClr>
            </a:solidFill>
            <a:latin typeface="+mn-lt"/>
            <a:ea typeface="+mn-ea"/>
            <a:cs typeface="+mn-cs"/>
          </a:endParaRPr>
        </a:p>
      </xdr:txBody>
    </xdr:sp>
    <xdr:clientData/>
  </xdr:twoCellAnchor>
  <xdr:twoCellAnchor>
    <xdr:from>
      <xdr:col>2</xdr:col>
      <xdr:colOff>262467</xdr:colOff>
      <xdr:row>11</xdr:row>
      <xdr:rowOff>16932</xdr:rowOff>
    </xdr:from>
    <xdr:to>
      <xdr:col>4</xdr:col>
      <xdr:colOff>59267</xdr:colOff>
      <xdr:row>12</xdr:row>
      <xdr:rowOff>152400</xdr:rowOff>
    </xdr:to>
    <xdr:sp macro="" textlink="">
      <xdr:nvSpPr>
        <xdr:cNvPr id="119" name="TextBox 118">
          <a:extLst>
            <a:ext uri="{FF2B5EF4-FFF2-40B4-BE49-F238E27FC236}">
              <a16:creationId xmlns:a16="http://schemas.microsoft.com/office/drawing/2014/main" id="{52D07130-3770-4FDF-ADC1-547F5B2C60C8}"/>
            </a:ext>
          </a:extLst>
        </xdr:cNvPr>
        <xdr:cNvSpPr txBox="1"/>
      </xdr:nvSpPr>
      <xdr:spPr>
        <a:xfrm>
          <a:off x="685800" y="2065865"/>
          <a:ext cx="1016000" cy="321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95000"/>
                </a:schemeClr>
              </a:solidFill>
              <a:latin typeface="+mn-lt"/>
              <a:ea typeface="+mn-ea"/>
              <a:cs typeface="+mn-cs"/>
            </a:rPr>
            <a:t>Amount</a:t>
          </a:r>
          <a:r>
            <a:rPr lang="en-IN" sz="1200">
              <a:latin typeface="+mn-lt"/>
            </a:rPr>
            <a:t>		</a:t>
          </a:r>
        </a:p>
      </xdr:txBody>
    </xdr:sp>
    <xdr:clientData/>
  </xdr:twoCellAnchor>
  <xdr:twoCellAnchor>
    <xdr:from>
      <xdr:col>2</xdr:col>
      <xdr:colOff>347134</xdr:colOff>
      <xdr:row>15</xdr:row>
      <xdr:rowOff>8467</xdr:rowOff>
    </xdr:from>
    <xdr:to>
      <xdr:col>3</xdr:col>
      <xdr:colOff>575735</xdr:colOff>
      <xdr:row>17</xdr:row>
      <xdr:rowOff>8468</xdr:rowOff>
    </xdr:to>
    <xdr:sp macro="" textlink="Pivots!B10">
      <xdr:nvSpPr>
        <xdr:cNvPr id="121" name="TextBox 120">
          <a:extLst>
            <a:ext uri="{FF2B5EF4-FFF2-40B4-BE49-F238E27FC236}">
              <a16:creationId xmlns:a16="http://schemas.microsoft.com/office/drawing/2014/main" id="{DB0DE4C0-8870-4323-AFF6-F0F32008B80B}"/>
            </a:ext>
          </a:extLst>
        </xdr:cNvPr>
        <xdr:cNvSpPr txBox="1"/>
      </xdr:nvSpPr>
      <xdr:spPr>
        <a:xfrm>
          <a:off x="770467" y="2802467"/>
          <a:ext cx="838201"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14E80D-87A5-428F-A0D7-6BCF6FF022FC}" type="TxLink">
            <a:rPr lang="en-US" sz="1100" b="1" i="0" u="none" strike="noStrike">
              <a:ln>
                <a:noFill/>
              </a:ln>
              <a:solidFill>
                <a:schemeClr val="bg1">
                  <a:lumMod val="95000"/>
                </a:schemeClr>
              </a:solidFill>
              <a:latin typeface="+mn-lt"/>
              <a:ea typeface="Calibri"/>
              <a:cs typeface="Calibri"/>
            </a:rPr>
            <a:pPr marL="0" indent="0" algn="ctr"/>
            <a:t>$96,623</a:t>
          </a:fld>
          <a:endParaRPr lang="en-IN" sz="1100" b="1" i="0" u="none" strike="noStrike">
            <a:ln>
              <a:noFill/>
            </a:ln>
            <a:solidFill>
              <a:schemeClr val="bg1">
                <a:lumMod val="95000"/>
              </a:schemeClr>
            </a:solidFill>
            <a:latin typeface="+mn-lt"/>
            <a:ea typeface="Calibri"/>
            <a:cs typeface="Calibri"/>
          </a:endParaRPr>
        </a:p>
      </xdr:txBody>
    </xdr:sp>
    <xdr:clientData/>
  </xdr:twoCellAnchor>
  <xdr:twoCellAnchor>
    <xdr:from>
      <xdr:col>2</xdr:col>
      <xdr:colOff>0</xdr:colOff>
      <xdr:row>18</xdr:row>
      <xdr:rowOff>0</xdr:rowOff>
    </xdr:from>
    <xdr:to>
      <xdr:col>4</xdr:col>
      <xdr:colOff>287868</xdr:colOff>
      <xdr:row>24</xdr:row>
      <xdr:rowOff>67733</xdr:rowOff>
    </xdr:to>
    <xdr:sp macro="" textlink="Pivots!C4">
      <xdr:nvSpPr>
        <xdr:cNvPr id="122" name="Rectangle 121">
          <a:extLst>
            <a:ext uri="{FF2B5EF4-FFF2-40B4-BE49-F238E27FC236}">
              <a16:creationId xmlns:a16="http://schemas.microsoft.com/office/drawing/2014/main" id="{1C12D587-F49D-4419-8D50-6251590E958C}"/>
            </a:ext>
          </a:extLst>
        </xdr:cNvPr>
        <xdr:cNvSpPr/>
      </xdr:nvSpPr>
      <xdr:spPr>
        <a:xfrm>
          <a:off x="423333" y="3352800"/>
          <a:ext cx="1507068" cy="1185333"/>
        </a:xfrm>
        <a:prstGeom prst="rect">
          <a:avLst/>
        </a:prstGeom>
        <a:ln>
          <a:noFill/>
        </a:ln>
        <a:effectLst>
          <a:outerShdw blurRad="254000" dist="127000" algn="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0E2720-E1B7-4862-9203-D6BA4394D4C8}" type="TxLink">
            <a:rPr lang="en-US" sz="2400" b="1">
              <a:solidFill>
                <a:schemeClr val="bg1">
                  <a:lumMod val="95000"/>
                </a:schemeClr>
              </a:solidFill>
              <a:latin typeface="+mn-lt"/>
              <a:ea typeface="+mn-ea"/>
              <a:cs typeface="+mn-cs"/>
            </a:rPr>
            <a:pPr marL="0" indent="0" algn="ctr"/>
            <a:t>89,850</a:t>
          </a:fld>
          <a:endParaRPr lang="en-US" sz="2400" b="1">
            <a:solidFill>
              <a:schemeClr val="bg1">
                <a:lumMod val="95000"/>
              </a:schemeClr>
            </a:solidFill>
            <a:latin typeface="+mn-lt"/>
            <a:ea typeface="+mn-ea"/>
            <a:cs typeface="+mn-cs"/>
          </a:endParaRPr>
        </a:p>
      </xdr:txBody>
    </xdr:sp>
    <xdr:clientData/>
  </xdr:twoCellAnchor>
  <xdr:twoCellAnchor>
    <xdr:from>
      <xdr:col>2</xdr:col>
      <xdr:colOff>262467</xdr:colOff>
      <xdr:row>18</xdr:row>
      <xdr:rowOff>16932</xdr:rowOff>
    </xdr:from>
    <xdr:to>
      <xdr:col>4</xdr:col>
      <xdr:colOff>59267</xdr:colOff>
      <xdr:row>19</xdr:row>
      <xdr:rowOff>152400</xdr:rowOff>
    </xdr:to>
    <xdr:sp macro="" textlink="">
      <xdr:nvSpPr>
        <xdr:cNvPr id="123" name="TextBox 122">
          <a:extLst>
            <a:ext uri="{FF2B5EF4-FFF2-40B4-BE49-F238E27FC236}">
              <a16:creationId xmlns:a16="http://schemas.microsoft.com/office/drawing/2014/main" id="{28ACD31C-1F20-46F8-AE09-BD58312117EC}"/>
            </a:ext>
          </a:extLst>
        </xdr:cNvPr>
        <xdr:cNvSpPr txBox="1"/>
      </xdr:nvSpPr>
      <xdr:spPr>
        <a:xfrm>
          <a:off x="685800" y="3369732"/>
          <a:ext cx="1016000" cy="321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95000"/>
                </a:schemeClr>
              </a:solidFill>
              <a:latin typeface="+mn-lt"/>
            </a:rPr>
            <a:t>Duration	</a:t>
          </a:r>
          <a:r>
            <a:rPr lang="en-IN" sz="1200">
              <a:latin typeface="+mn-lt"/>
            </a:rPr>
            <a:t>	</a:t>
          </a:r>
        </a:p>
      </xdr:txBody>
    </xdr:sp>
    <xdr:clientData/>
  </xdr:twoCellAnchor>
  <xdr:twoCellAnchor>
    <xdr:from>
      <xdr:col>2</xdr:col>
      <xdr:colOff>347134</xdr:colOff>
      <xdr:row>22</xdr:row>
      <xdr:rowOff>8467</xdr:rowOff>
    </xdr:from>
    <xdr:to>
      <xdr:col>3</xdr:col>
      <xdr:colOff>575735</xdr:colOff>
      <xdr:row>24</xdr:row>
      <xdr:rowOff>8468</xdr:rowOff>
    </xdr:to>
    <xdr:sp macro="" textlink="Pivots!C10">
      <xdr:nvSpPr>
        <xdr:cNvPr id="125" name="TextBox 124">
          <a:extLst>
            <a:ext uri="{FF2B5EF4-FFF2-40B4-BE49-F238E27FC236}">
              <a16:creationId xmlns:a16="http://schemas.microsoft.com/office/drawing/2014/main" id="{91411877-7396-4447-9620-C34595DA0E38}"/>
            </a:ext>
          </a:extLst>
        </xdr:cNvPr>
        <xdr:cNvSpPr txBox="1"/>
      </xdr:nvSpPr>
      <xdr:spPr>
        <a:xfrm>
          <a:off x="770467" y="4106334"/>
          <a:ext cx="838201"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DF667C-6E4A-463F-A2DD-B437B533E655}" type="TxLink">
            <a:rPr lang="en-US" sz="1100" b="1" i="0" u="none" strike="noStrike">
              <a:ln>
                <a:noFill/>
              </a:ln>
              <a:solidFill>
                <a:schemeClr val="bg1">
                  <a:lumMod val="95000"/>
                </a:schemeClr>
              </a:solidFill>
              <a:latin typeface="+mn-lt"/>
              <a:ea typeface="Calibri"/>
              <a:cs typeface="Calibri"/>
            </a:rPr>
            <a:pPr marL="0" indent="0" algn="ctr"/>
            <a:t>89,850</a:t>
          </a:fld>
          <a:endParaRPr lang="en-IN" sz="1100" b="1" i="0" u="none" strike="noStrike">
            <a:ln>
              <a:noFill/>
            </a:ln>
            <a:solidFill>
              <a:schemeClr val="bg1">
                <a:lumMod val="95000"/>
              </a:schemeClr>
            </a:solidFill>
            <a:latin typeface="+mn-lt"/>
            <a:ea typeface="Calibri"/>
            <a:cs typeface="Calibri"/>
          </a:endParaRPr>
        </a:p>
      </xdr:txBody>
    </xdr:sp>
    <xdr:clientData/>
  </xdr:twoCellAnchor>
  <xdr:twoCellAnchor>
    <xdr:from>
      <xdr:col>2</xdr:col>
      <xdr:colOff>0</xdr:colOff>
      <xdr:row>25</xdr:row>
      <xdr:rowOff>0</xdr:rowOff>
    </xdr:from>
    <xdr:to>
      <xdr:col>4</xdr:col>
      <xdr:colOff>287868</xdr:colOff>
      <xdr:row>31</xdr:row>
      <xdr:rowOff>67733</xdr:rowOff>
    </xdr:to>
    <xdr:sp macro="" textlink="Pivots!$D$4">
      <xdr:nvSpPr>
        <xdr:cNvPr id="126" name="Rectangle 125">
          <a:extLst>
            <a:ext uri="{FF2B5EF4-FFF2-40B4-BE49-F238E27FC236}">
              <a16:creationId xmlns:a16="http://schemas.microsoft.com/office/drawing/2014/main" id="{303A4B25-E231-49CC-AD70-B9FF201B8AA0}"/>
            </a:ext>
          </a:extLst>
        </xdr:cNvPr>
        <xdr:cNvSpPr/>
      </xdr:nvSpPr>
      <xdr:spPr>
        <a:xfrm>
          <a:off x="423333" y="4656667"/>
          <a:ext cx="1507068" cy="1185333"/>
        </a:xfrm>
        <a:prstGeom prst="rect">
          <a:avLst/>
        </a:prstGeom>
        <a:ln>
          <a:noFill/>
        </a:ln>
        <a:effectLst>
          <a:outerShdw blurRad="254000" dist="127000" algn="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DE8EE53-547D-4484-926D-2DFB6982ED89}" type="TxLink">
            <a:rPr lang="en-US" sz="2400" b="1">
              <a:solidFill>
                <a:schemeClr val="bg1">
                  <a:lumMod val="95000"/>
                </a:schemeClr>
              </a:solidFill>
              <a:latin typeface="+mn-lt"/>
              <a:ea typeface="+mn-ea"/>
              <a:cs typeface="+mn-cs"/>
            </a:rPr>
            <a:pPr marL="0" indent="0" algn="ctr"/>
            <a:t>3.9</a:t>
          </a:fld>
          <a:endParaRPr lang="en-US" sz="2400" b="1">
            <a:solidFill>
              <a:schemeClr val="bg1">
                <a:lumMod val="95000"/>
              </a:schemeClr>
            </a:solidFill>
            <a:latin typeface="+mn-lt"/>
            <a:ea typeface="+mn-ea"/>
            <a:cs typeface="+mn-cs"/>
          </a:endParaRPr>
        </a:p>
      </xdr:txBody>
    </xdr:sp>
    <xdr:clientData/>
  </xdr:twoCellAnchor>
  <xdr:twoCellAnchor>
    <xdr:from>
      <xdr:col>2</xdr:col>
      <xdr:colOff>262467</xdr:colOff>
      <xdr:row>25</xdr:row>
      <xdr:rowOff>16932</xdr:rowOff>
    </xdr:from>
    <xdr:to>
      <xdr:col>4</xdr:col>
      <xdr:colOff>59267</xdr:colOff>
      <xdr:row>26</xdr:row>
      <xdr:rowOff>152401</xdr:rowOff>
    </xdr:to>
    <xdr:sp macro="" textlink="">
      <xdr:nvSpPr>
        <xdr:cNvPr id="127" name="TextBox 126">
          <a:extLst>
            <a:ext uri="{FF2B5EF4-FFF2-40B4-BE49-F238E27FC236}">
              <a16:creationId xmlns:a16="http://schemas.microsoft.com/office/drawing/2014/main" id="{D6D56217-A34E-4354-88EF-6BAD92FB6F75}"/>
            </a:ext>
          </a:extLst>
        </xdr:cNvPr>
        <xdr:cNvSpPr txBox="1"/>
      </xdr:nvSpPr>
      <xdr:spPr>
        <a:xfrm>
          <a:off x="685800" y="4673599"/>
          <a:ext cx="1016000" cy="321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95000"/>
                </a:schemeClr>
              </a:solidFill>
              <a:latin typeface="+mn-lt"/>
            </a:rPr>
            <a:t>Ratings</a:t>
          </a:r>
          <a:endParaRPr lang="en-IN" sz="1200">
            <a:latin typeface="+mn-lt"/>
          </a:endParaRPr>
        </a:p>
      </xdr:txBody>
    </xdr:sp>
    <xdr:clientData/>
  </xdr:twoCellAnchor>
  <xdr:twoCellAnchor>
    <xdr:from>
      <xdr:col>2</xdr:col>
      <xdr:colOff>347134</xdr:colOff>
      <xdr:row>29</xdr:row>
      <xdr:rowOff>8468</xdr:rowOff>
    </xdr:from>
    <xdr:to>
      <xdr:col>3</xdr:col>
      <xdr:colOff>575735</xdr:colOff>
      <xdr:row>31</xdr:row>
      <xdr:rowOff>8468</xdr:rowOff>
    </xdr:to>
    <xdr:sp macro="" textlink="Pivots!D10">
      <xdr:nvSpPr>
        <xdr:cNvPr id="129" name="TextBox 128">
          <a:extLst>
            <a:ext uri="{FF2B5EF4-FFF2-40B4-BE49-F238E27FC236}">
              <a16:creationId xmlns:a16="http://schemas.microsoft.com/office/drawing/2014/main" id="{18856F1B-CD55-4F28-8526-662EF1CAF541}"/>
            </a:ext>
          </a:extLst>
        </xdr:cNvPr>
        <xdr:cNvSpPr txBox="1"/>
      </xdr:nvSpPr>
      <xdr:spPr>
        <a:xfrm>
          <a:off x="770467" y="5410201"/>
          <a:ext cx="838201"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77B7A3-DEA7-40E4-A7B3-04846FCCF89D}" type="TxLink">
            <a:rPr lang="en-US" sz="1100" b="1" i="0" u="none" strike="noStrike">
              <a:ln>
                <a:noFill/>
              </a:ln>
              <a:solidFill>
                <a:schemeClr val="bg1">
                  <a:lumMod val="95000"/>
                </a:schemeClr>
              </a:solidFill>
              <a:latin typeface="+mn-lt"/>
              <a:ea typeface="Calibri"/>
              <a:cs typeface="Calibri"/>
            </a:rPr>
            <a:pPr marL="0" indent="0" algn="ctr"/>
            <a:t>3.9</a:t>
          </a:fld>
          <a:endParaRPr lang="en-IN" sz="1100" b="1" i="0" u="none" strike="noStrike">
            <a:ln>
              <a:noFill/>
            </a:ln>
            <a:solidFill>
              <a:schemeClr val="bg1">
                <a:lumMod val="95000"/>
              </a:schemeClr>
            </a:solidFill>
            <a:latin typeface="+mn-lt"/>
            <a:ea typeface="Calibri"/>
            <a:cs typeface="Calibri"/>
          </a:endParaRPr>
        </a:p>
      </xdr:txBody>
    </xdr:sp>
    <xdr:clientData/>
  </xdr:twoCellAnchor>
  <xdr:twoCellAnchor>
    <xdr:from>
      <xdr:col>2</xdr:col>
      <xdr:colOff>0</xdr:colOff>
      <xdr:row>32</xdr:row>
      <xdr:rowOff>0</xdr:rowOff>
    </xdr:from>
    <xdr:to>
      <xdr:col>4</xdr:col>
      <xdr:colOff>287868</xdr:colOff>
      <xdr:row>38</xdr:row>
      <xdr:rowOff>67733</xdr:rowOff>
    </xdr:to>
    <xdr:sp macro="" textlink="Pivots!$E$4">
      <xdr:nvSpPr>
        <xdr:cNvPr id="130" name="Rectangle 129">
          <a:extLst>
            <a:ext uri="{FF2B5EF4-FFF2-40B4-BE49-F238E27FC236}">
              <a16:creationId xmlns:a16="http://schemas.microsoft.com/office/drawing/2014/main" id="{56EF67FD-ED16-4875-A36E-4ADDE9EC6924}"/>
            </a:ext>
          </a:extLst>
        </xdr:cNvPr>
        <xdr:cNvSpPr/>
      </xdr:nvSpPr>
      <xdr:spPr>
        <a:xfrm>
          <a:off x="423333" y="5960533"/>
          <a:ext cx="1507068" cy="1185333"/>
        </a:xfrm>
        <a:prstGeom prst="rect">
          <a:avLst/>
        </a:prstGeom>
        <a:ln>
          <a:noFill/>
        </a:ln>
        <a:effectLst>
          <a:outerShdw blurRad="254000" dist="127000" algn="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6235289-8934-4109-A4E8-52CBD57FE4D2}" type="TxLink">
            <a:rPr lang="en-US" sz="2400" b="1">
              <a:solidFill>
                <a:schemeClr val="bg1">
                  <a:lumMod val="95000"/>
                </a:schemeClr>
              </a:solidFill>
              <a:latin typeface="+mn-lt"/>
              <a:ea typeface="+mn-ea"/>
              <a:cs typeface="+mn-cs"/>
            </a:rPr>
            <a:pPr marL="0" indent="0" algn="ctr"/>
            <a:t>307</a:t>
          </a:fld>
          <a:endParaRPr lang="en-US" sz="2400" b="1">
            <a:solidFill>
              <a:schemeClr val="bg1">
                <a:lumMod val="95000"/>
              </a:schemeClr>
            </a:solidFill>
            <a:latin typeface="+mn-lt"/>
            <a:ea typeface="+mn-ea"/>
            <a:cs typeface="+mn-cs"/>
          </a:endParaRPr>
        </a:p>
      </xdr:txBody>
    </xdr:sp>
    <xdr:clientData/>
  </xdr:twoCellAnchor>
  <xdr:twoCellAnchor>
    <xdr:from>
      <xdr:col>2</xdr:col>
      <xdr:colOff>273353</xdr:colOff>
      <xdr:row>32</xdr:row>
      <xdr:rowOff>16932</xdr:rowOff>
    </xdr:from>
    <xdr:to>
      <xdr:col>4</xdr:col>
      <xdr:colOff>70153</xdr:colOff>
      <xdr:row>33</xdr:row>
      <xdr:rowOff>152400</xdr:rowOff>
    </xdr:to>
    <xdr:sp macro="" textlink="">
      <xdr:nvSpPr>
        <xdr:cNvPr id="131" name="TextBox 130">
          <a:extLst>
            <a:ext uri="{FF2B5EF4-FFF2-40B4-BE49-F238E27FC236}">
              <a16:creationId xmlns:a16="http://schemas.microsoft.com/office/drawing/2014/main" id="{AC6E5B70-829D-4712-B695-CDE625F95612}"/>
            </a:ext>
          </a:extLst>
        </xdr:cNvPr>
        <xdr:cNvSpPr txBox="1"/>
      </xdr:nvSpPr>
      <xdr:spPr>
        <a:xfrm>
          <a:off x="687010" y="5938761"/>
          <a:ext cx="1016000" cy="32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95000"/>
                </a:schemeClr>
              </a:solidFill>
              <a:latin typeface="+mn-lt"/>
              <a:ea typeface="+mn-ea"/>
              <a:cs typeface="+mn-cs"/>
            </a:rPr>
            <a:t>Rating</a:t>
          </a:r>
          <a:r>
            <a:rPr lang="en-IN" sz="1800" b="0" baseline="0">
              <a:solidFill>
                <a:schemeClr val="dk1"/>
              </a:solidFill>
              <a:latin typeface="+mn-lt"/>
              <a:ea typeface="+mn-ea"/>
              <a:cs typeface="+mn-cs"/>
            </a:rPr>
            <a:t> </a:t>
          </a:r>
          <a:r>
            <a:rPr lang="en-IN" sz="1800" b="1" baseline="0">
              <a:solidFill>
                <a:schemeClr val="bg1">
                  <a:lumMod val="95000"/>
                </a:schemeClr>
              </a:solidFill>
              <a:latin typeface="+mn-lt"/>
              <a:ea typeface="+mn-ea"/>
              <a:cs typeface="+mn-cs"/>
            </a:rPr>
            <a:t>5</a:t>
          </a:r>
          <a:r>
            <a:rPr lang="en-IN" sz="1200" b="0" baseline="0">
              <a:solidFill>
                <a:schemeClr val="dk1"/>
              </a:solidFill>
              <a:latin typeface="+mn-lt"/>
              <a:ea typeface="+mn-ea"/>
              <a:cs typeface="+mn-cs"/>
            </a:rPr>
            <a:t>	</a:t>
          </a:r>
          <a:endParaRPr lang="en-IN" sz="1600" b="1">
            <a:solidFill>
              <a:schemeClr val="bg1">
                <a:lumMod val="95000"/>
              </a:schemeClr>
            </a:solidFill>
            <a:latin typeface="+mn-lt"/>
            <a:ea typeface="+mn-ea"/>
            <a:cs typeface="+mn-cs"/>
          </a:endParaRPr>
        </a:p>
      </xdr:txBody>
    </xdr:sp>
    <xdr:clientData/>
  </xdr:twoCellAnchor>
  <xdr:twoCellAnchor>
    <xdr:from>
      <xdr:col>2</xdr:col>
      <xdr:colOff>347134</xdr:colOff>
      <xdr:row>36</xdr:row>
      <xdr:rowOff>8467</xdr:rowOff>
    </xdr:from>
    <xdr:to>
      <xdr:col>3</xdr:col>
      <xdr:colOff>575735</xdr:colOff>
      <xdr:row>38</xdr:row>
      <xdr:rowOff>8468</xdr:rowOff>
    </xdr:to>
    <xdr:sp macro="" textlink="Pivots!$E$10">
      <xdr:nvSpPr>
        <xdr:cNvPr id="133" name="TextBox 132">
          <a:extLst>
            <a:ext uri="{FF2B5EF4-FFF2-40B4-BE49-F238E27FC236}">
              <a16:creationId xmlns:a16="http://schemas.microsoft.com/office/drawing/2014/main" id="{CD113885-82E1-49D8-8F23-2F8133863BB0}"/>
            </a:ext>
          </a:extLst>
        </xdr:cNvPr>
        <xdr:cNvSpPr txBox="1"/>
      </xdr:nvSpPr>
      <xdr:spPr>
        <a:xfrm>
          <a:off x="770467" y="6714067"/>
          <a:ext cx="838201"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B58900-706F-4314-AC46-BB4EE4FF4855}" type="TxLink">
            <a:rPr lang="en-US" sz="1100" b="1" i="0" u="none" strike="noStrike">
              <a:ln>
                <a:noFill/>
              </a:ln>
              <a:solidFill>
                <a:schemeClr val="bg1">
                  <a:lumMod val="95000"/>
                </a:schemeClr>
              </a:solidFill>
              <a:latin typeface="+mn-lt"/>
              <a:ea typeface="Calibri"/>
              <a:cs typeface="Calibri"/>
            </a:rPr>
            <a:pPr marL="0" indent="0" algn="ctr"/>
            <a:t>307</a:t>
          </a:fld>
          <a:endParaRPr lang="en-IN" sz="1100" b="1" i="0" u="none" strike="noStrike">
            <a:ln>
              <a:noFill/>
            </a:ln>
            <a:solidFill>
              <a:schemeClr val="bg1">
                <a:lumMod val="95000"/>
              </a:schemeClr>
            </a:solidFill>
            <a:latin typeface="+mn-lt"/>
            <a:ea typeface="Calibri"/>
            <a:cs typeface="Calibri"/>
          </a:endParaRPr>
        </a:p>
      </xdr:txBody>
    </xdr:sp>
    <xdr:clientData/>
  </xdr:twoCellAnchor>
  <xdr:twoCellAnchor editAs="oneCell">
    <xdr:from>
      <xdr:col>2</xdr:col>
      <xdr:colOff>21772</xdr:colOff>
      <xdr:row>11</xdr:row>
      <xdr:rowOff>21770</xdr:rowOff>
    </xdr:from>
    <xdr:to>
      <xdr:col>2</xdr:col>
      <xdr:colOff>391887</xdr:colOff>
      <xdr:row>13</xdr:row>
      <xdr:rowOff>1117</xdr:rowOff>
    </xdr:to>
    <xdr:pic>
      <xdr:nvPicPr>
        <xdr:cNvPr id="134" name="Graphic 133" descr="Shopping cart with solid fill">
          <a:extLst>
            <a:ext uri="{FF2B5EF4-FFF2-40B4-BE49-F238E27FC236}">
              <a16:creationId xmlns:a16="http://schemas.microsoft.com/office/drawing/2014/main" id="{B1348B57-3590-4783-8136-5D59EBAE17F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5429" y="2057399"/>
          <a:ext cx="370115" cy="349461"/>
        </a:xfrm>
        <a:prstGeom prst="rect">
          <a:avLst/>
        </a:prstGeom>
      </xdr:spPr>
    </xdr:pic>
    <xdr:clientData/>
  </xdr:twoCellAnchor>
  <xdr:twoCellAnchor editAs="oneCell">
    <xdr:from>
      <xdr:col>1</xdr:col>
      <xdr:colOff>152400</xdr:colOff>
      <xdr:row>18</xdr:row>
      <xdr:rowOff>43543</xdr:rowOff>
    </xdr:from>
    <xdr:to>
      <xdr:col>2</xdr:col>
      <xdr:colOff>332967</xdr:colOff>
      <xdr:row>20</xdr:row>
      <xdr:rowOff>10886</xdr:rowOff>
    </xdr:to>
    <xdr:pic>
      <xdr:nvPicPr>
        <xdr:cNvPr id="135" name="Graphic 134" descr="Hourglass Finished with solid fill">
          <a:extLst>
            <a:ext uri="{FF2B5EF4-FFF2-40B4-BE49-F238E27FC236}">
              <a16:creationId xmlns:a16="http://schemas.microsoft.com/office/drawing/2014/main" id="{96D79E3A-AEB3-4EFB-A508-858D4CA3A7F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2771" y="3374572"/>
          <a:ext cx="343853" cy="337457"/>
        </a:xfrm>
        <a:prstGeom prst="rect">
          <a:avLst/>
        </a:prstGeom>
      </xdr:spPr>
    </xdr:pic>
    <xdr:clientData/>
  </xdr:twoCellAnchor>
  <xdr:twoCellAnchor editAs="oneCell">
    <xdr:from>
      <xdr:col>2</xdr:col>
      <xdr:colOff>10888</xdr:colOff>
      <xdr:row>24</xdr:row>
      <xdr:rowOff>152400</xdr:rowOff>
    </xdr:from>
    <xdr:to>
      <xdr:col>2</xdr:col>
      <xdr:colOff>422368</xdr:colOff>
      <xdr:row>26</xdr:row>
      <xdr:rowOff>140425</xdr:rowOff>
    </xdr:to>
    <xdr:pic>
      <xdr:nvPicPr>
        <xdr:cNvPr id="136" name="Graphic 135" descr="Rating Star with solid fill">
          <a:extLst>
            <a:ext uri="{FF2B5EF4-FFF2-40B4-BE49-F238E27FC236}">
              <a16:creationId xmlns:a16="http://schemas.microsoft.com/office/drawing/2014/main" id="{B29C0F3D-5FE0-40CC-BD04-2A5F8E85AB2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24545" y="4593771"/>
          <a:ext cx="411480" cy="396240"/>
        </a:xfrm>
        <a:prstGeom prst="rect">
          <a:avLst/>
        </a:prstGeom>
      </xdr:spPr>
    </xdr:pic>
    <xdr:clientData/>
  </xdr:twoCellAnchor>
  <xdr:twoCellAnchor editAs="oneCell">
    <xdr:from>
      <xdr:col>1</xdr:col>
      <xdr:colOff>152400</xdr:colOff>
      <xdr:row>32</xdr:row>
      <xdr:rowOff>10885</xdr:rowOff>
    </xdr:from>
    <xdr:to>
      <xdr:col>2</xdr:col>
      <xdr:colOff>398764</xdr:colOff>
      <xdr:row>33</xdr:row>
      <xdr:rowOff>197106</xdr:rowOff>
    </xdr:to>
    <xdr:pic>
      <xdr:nvPicPr>
        <xdr:cNvPr id="137" name="Graphic 136" descr="Star-struck face outline with solid fill">
          <a:extLst>
            <a:ext uri="{FF2B5EF4-FFF2-40B4-BE49-F238E27FC236}">
              <a16:creationId xmlns:a16="http://schemas.microsoft.com/office/drawing/2014/main" id="{E39B2DEB-65A5-458F-8829-6B9B64EFCA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02771" y="5932714"/>
          <a:ext cx="409650" cy="394410"/>
        </a:xfrm>
        <a:prstGeom prst="rect">
          <a:avLst/>
        </a:prstGeom>
      </xdr:spPr>
    </xdr:pic>
    <xdr:clientData/>
  </xdr:twoCellAnchor>
  <xdr:twoCellAnchor>
    <xdr:from>
      <xdr:col>12</xdr:col>
      <xdr:colOff>277586</xdr:colOff>
      <xdr:row>5</xdr:row>
      <xdr:rowOff>57149</xdr:rowOff>
    </xdr:from>
    <xdr:to>
      <xdr:col>17</xdr:col>
      <xdr:colOff>28575</xdr:colOff>
      <xdr:row>17</xdr:row>
      <xdr:rowOff>38100</xdr:rowOff>
    </xdr:to>
    <xdr:graphicFrame macro="">
      <xdr:nvGraphicFramePr>
        <xdr:cNvPr id="143" name="Chart 142">
          <a:extLst>
            <a:ext uri="{FF2B5EF4-FFF2-40B4-BE49-F238E27FC236}">
              <a16:creationId xmlns:a16="http://schemas.microsoft.com/office/drawing/2014/main" id="{29B2BF83-228E-4945-8163-C20C8847D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598715</xdr:colOff>
      <xdr:row>3</xdr:row>
      <xdr:rowOff>152401</xdr:rowOff>
    </xdr:from>
    <xdr:to>
      <xdr:col>12</xdr:col>
      <xdr:colOff>293915</xdr:colOff>
      <xdr:row>18</xdr:row>
      <xdr:rowOff>119743</xdr:rowOff>
    </xdr:to>
    <xdr:graphicFrame macro="">
      <xdr:nvGraphicFramePr>
        <xdr:cNvPr id="12" name="Chart 11">
          <a:extLst>
            <a:ext uri="{FF2B5EF4-FFF2-40B4-BE49-F238E27FC236}">
              <a16:creationId xmlns:a16="http://schemas.microsoft.com/office/drawing/2014/main" id="{5DAAA477-A7A1-40F4-B430-DFD77474D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20</xdr:row>
      <xdr:rowOff>28575</xdr:rowOff>
    </xdr:from>
    <xdr:to>
      <xdr:col>11</xdr:col>
      <xdr:colOff>453736</xdr:colOff>
      <xdr:row>38</xdr:row>
      <xdr:rowOff>0</xdr:rowOff>
    </xdr:to>
    <xdr:graphicFrame macro="">
      <xdr:nvGraphicFramePr>
        <xdr:cNvPr id="13" name="Chart 12">
          <a:extLst>
            <a:ext uri="{FF2B5EF4-FFF2-40B4-BE49-F238E27FC236}">
              <a16:creationId xmlns:a16="http://schemas.microsoft.com/office/drawing/2014/main" id="{2B1B3C79-D355-4878-9BAF-7ED92D786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252847</xdr:colOff>
      <xdr:row>3</xdr:row>
      <xdr:rowOff>152400</xdr:rowOff>
    </xdr:from>
    <xdr:to>
      <xdr:col>23</xdr:col>
      <xdr:colOff>0</xdr:colOff>
      <xdr:row>18</xdr:row>
      <xdr:rowOff>57150</xdr:rowOff>
    </xdr:to>
    <xdr:graphicFrame macro="">
      <xdr:nvGraphicFramePr>
        <xdr:cNvPr id="16" name="Chart 15">
          <a:extLst>
            <a:ext uri="{FF2B5EF4-FFF2-40B4-BE49-F238E27FC236}">
              <a16:creationId xmlns:a16="http://schemas.microsoft.com/office/drawing/2014/main" id="{349B0BA7-4AF9-4FC8-BE5B-6E7A0A432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142875</xdr:colOff>
      <xdr:row>3</xdr:row>
      <xdr:rowOff>133351</xdr:rowOff>
    </xdr:from>
    <xdr:to>
      <xdr:col>27</xdr:col>
      <xdr:colOff>302202</xdr:colOff>
      <xdr:row>18</xdr:row>
      <xdr:rowOff>66676</xdr:rowOff>
    </xdr:to>
    <xdr:graphicFrame macro="">
      <xdr:nvGraphicFramePr>
        <xdr:cNvPr id="17" name="Chart 16">
          <a:extLst>
            <a:ext uri="{FF2B5EF4-FFF2-40B4-BE49-F238E27FC236}">
              <a16:creationId xmlns:a16="http://schemas.microsoft.com/office/drawing/2014/main" id="{56614F20-ED34-4E5C-B6D1-3299885B1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335974</xdr:colOff>
      <xdr:row>33</xdr:row>
      <xdr:rowOff>65810</xdr:rowOff>
    </xdr:from>
    <xdr:to>
      <xdr:col>14</xdr:col>
      <xdr:colOff>180110</xdr:colOff>
      <xdr:row>46</xdr:row>
      <xdr:rowOff>83128</xdr:rowOff>
    </xdr:to>
    <xdr:graphicFrame macro="">
      <xdr:nvGraphicFramePr>
        <xdr:cNvPr id="2" name="Chart 1">
          <a:extLst>
            <a:ext uri="{FF2B5EF4-FFF2-40B4-BE49-F238E27FC236}">
              <a16:creationId xmlns:a16="http://schemas.microsoft.com/office/drawing/2014/main" id="{371ABA89-F81E-BA7A-852D-283DD605D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301336</xdr:colOff>
      <xdr:row>43</xdr:row>
      <xdr:rowOff>93518</xdr:rowOff>
    </xdr:from>
    <xdr:to>
      <xdr:col>8</xdr:col>
      <xdr:colOff>699654</xdr:colOff>
      <xdr:row>56</xdr:row>
      <xdr:rowOff>76200</xdr:rowOff>
    </xdr:to>
    <xdr:graphicFrame macro="">
      <xdr:nvGraphicFramePr>
        <xdr:cNvPr id="5" name="Chart 4">
          <a:extLst>
            <a:ext uri="{FF2B5EF4-FFF2-40B4-BE49-F238E27FC236}">
              <a16:creationId xmlns:a16="http://schemas.microsoft.com/office/drawing/2014/main" id="{25655438-302B-28BA-3035-F1121D251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529936</xdr:colOff>
      <xdr:row>11</xdr:row>
      <xdr:rowOff>51954</xdr:rowOff>
    </xdr:from>
    <xdr:to>
      <xdr:col>14</xdr:col>
      <xdr:colOff>834736</xdr:colOff>
      <xdr:row>26</xdr:row>
      <xdr:rowOff>93518</xdr:rowOff>
    </xdr:to>
    <xdr:graphicFrame macro="">
      <xdr:nvGraphicFramePr>
        <xdr:cNvPr id="8" name="Chart 7">
          <a:extLst>
            <a:ext uri="{FF2B5EF4-FFF2-40B4-BE49-F238E27FC236}">
              <a16:creationId xmlns:a16="http://schemas.microsoft.com/office/drawing/2014/main" id="{63102AFE-22D8-6DE7-7D21-73FBF3541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474519</xdr:colOff>
      <xdr:row>57</xdr:row>
      <xdr:rowOff>24246</xdr:rowOff>
    </xdr:from>
    <xdr:to>
      <xdr:col>8</xdr:col>
      <xdr:colOff>1219200</xdr:colOff>
      <xdr:row>72</xdr:row>
      <xdr:rowOff>65809</xdr:rowOff>
    </xdr:to>
    <xdr:graphicFrame macro="">
      <xdr:nvGraphicFramePr>
        <xdr:cNvPr id="9" name="Chart 8">
          <a:extLst>
            <a:ext uri="{FF2B5EF4-FFF2-40B4-BE49-F238E27FC236}">
              <a16:creationId xmlns:a16="http://schemas.microsoft.com/office/drawing/2014/main" id="{93A2918B-A77E-4338-484F-4AAE60FED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131618</xdr:colOff>
      <xdr:row>75</xdr:row>
      <xdr:rowOff>110835</xdr:rowOff>
    </xdr:from>
    <xdr:to>
      <xdr:col>7</xdr:col>
      <xdr:colOff>886691</xdr:colOff>
      <xdr:row>89</xdr:row>
      <xdr:rowOff>131617</xdr:rowOff>
    </xdr:to>
    <xdr:graphicFrame macro="">
      <xdr:nvGraphicFramePr>
        <xdr:cNvPr id="10" name="Chart 9">
          <a:extLst>
            <a:ext uri="{FF2B5EF4-FFF2-40B4-BE49-F238E27FC236}">
              <a16:creationId xmlns:a16="http://schemas.microsoft.com/office/drawing/2014/main" id="{B64A672D-DD49-6DCB-FABF-C99FA6867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2.579411226849" backgroundQuery="1" createdVersion="8" refreshedVersion="8" minRefreshableVersion="3" recordCount="0" supportSubquery="1" supportAdvancedDrill="1" xr:uid="{C8AFA0C0-8EC4-4474-B989-70A918590DC6}">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2.452579398145" backgroundQuery="1" createdVersion="8" refreshedVersion="8" minRefreshableVersion="3" recordCount="0" supportSubquery="1" supportAdvancedDrill="1" xr:uid="{71282378-A947-4A92-ACAE-010D023ECE39}">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Star Rating]" caption="5 Star Rating" numFmtId="0" hierarchy="21"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Rating]" caption="5 Star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2.674343055558" backgroundQuery="1" createdVersion="8" refreshedVersion="8" minRefreshableVersion="3" recordCount="0" supportSubquery="1" supportAdvancedDrill="1" xr:uid="{14E9E348-1778-4B2A-8EBE-811B043EBBB4}">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2.95158148148" backgroundQuery="1" createdVersion="8" refreshedVersion="8" minRefreshableVersion="3" recordCount="0" supportSubquery="1" supportAdvancedDrill="1" xr:uid="{4D94A128-DC01-4A45-B83F-410C9B5AAE20}">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3.080874537038" backgroundQuery="1" createdVersion="8" refreshedVersion="8" minRefreshableVersion="3" recordCount="0" supportSubquery="1" supportAdvancedDrill="1" xr:uid="{7957F7A3-B073-431B-A4D4-061F02BD1049}">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Star Rating]" caption="5 Star Rating" numFmtId="0" hierarchy="21"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Rating]" caption="5 Star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3.080875" backgroundQuery="1" createdVersion="8" refreshedVersion="8" minRefreshableVersion="3" recordCount="0" supportSubquery="1" supportAdvancedDrill="1" xr:uid="{DDDBED60-E8D3-40B9-B42C-AE8F5CC656A8}">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3.080875462962" backgroundQuery="1" createdVersion="8" refreshedVersion="8" minRefreshableVersion="3" recordCount="0" supportSubquery="1" supportAdvancedDrill="1" xr:uid="{75E8CD13-E163-48DC-A4D8-3FAB9A2D9E1D}">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3.080875810185" backgroundQuery="1" createdVersion="8" refreshedVersion="8" minRefreshableVersion="3" recordCount="0" supportSubquery="1" supportAdvancedDrill="1" xr:uid="{30237294-FF10-44B0-B98C-925AAB90FDBE}">
  <cacheSource type="external" connectionId="1"/>
  <cacheFields count="1">
    <cacheField name="[calls].[Representative].[Representative]" caption="Representative" numFmtId="0" hierarchy="3" level="1">
      <sharedItems count="5">
        <s v="R01"/>
        <s v="R02"/>
        <s v="R03"/>
        <s v="R04"/>
        <s v="R05"/>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3.080876273147" backgroundQuery="1" createdVersion="8" refreshedVersion="8" minRefreshableVersion="3" recordCount="0" supportSubquery="1" supportAdvancedDrill="1" xr:uid="{D59170F8-21A9-49BA-BD74-E883A705EF6E}">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undra" refreshedDate="45942.45257627315" backgroundQuery="1" createdVersion="3" refreshedVersion="8" minRefreshableVersion="3" recordCount="0" supportSubquery="1" supportAdvancedDrill="1" xr:uid="{E7E8D1D8-6A77-4122-93CA-6F2D2D8427D7}">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0486470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C20763-9586-4930-BB71-869872D7848F}" name="PivotTable10" cacheId="216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
  <location ref="A93:G112"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14DD1F-8D6C-4E39-BFA7-71780C2F033B}" name="rep rating" cacheId="32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75:B8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40B1DC-F858-4E12-808C-61B134B9CE84}" name="PivotTable7" cacheId="1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0:D6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5">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3">
          <reference field="4294967294" count="1" selected="0">
            <x v="0"/>
          </reference>
          <reference field="0" count="1" selected="0">
            <x v="2"/>
          </reference>
          <reference field="1" count="1" selected="0">
            <x v="1"/>
          </reference>
        </references>
      </pivotArea>
    </chartFormat>
    <chartFormat chart="6" format="5" series="1">
      <pivotArea type="data" outline="0" fieldPosition="0">
        <references count="2">
          <reference field="4294967294" count="1" selected="0">
            <x v="0"/>
          </reference>
          <reference field="1" count="1" selected="0">
            <x v="0"/>
          </reference>
        </references>
      </pivotArea>
    </chartFormat>
    <chartFormat chart="6" format="6"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C329E6-EC62-4510-A1FD-B1D81479D22C}" name="Selected rep" cacheId="326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5:A50"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02D868-1954-4DC7-95BB-F58094E6C605}" name="rep's pivot" cacheId="12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6:C4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9EBEE2-938B-4F92-BBCE-87993F6632E7}" name="Summary" cacheId="12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7521B3-E11E-42F0-834C-83D97268384B}" name="weekly trend" cacheId="32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I14:J22" firstHeaderRow="1" firstDataRow="1" firstDataCol="1"/>
  <pivotFields count="3">
    <pivotField axis="axisRow" allDrilled="1" subtotalTop="0" showAll="0" sortType="descending" defaultSubtotal="0" defaultAttributeDrillState="1">
      <items count="7">
        <item x="2"/>
        <item x="0"/>
        <item x="4"/>
        <item x="6"/>
        <item x="5"/>
        <item x="1"/>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C202DB-A9CC-4A50-A2BF-21414E19FA53}" name="Monthly trend" cacheId="32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3">
  <location ref="A15:C28"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1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1"/>
          </reference>
        </references>
      </pivotArea>
    </chartFormat>
    <chartFormat chart="27"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1"/>
          </reference>
        </references>
      </pivotArea>
    </chartFormat>
    <chartFormat chart="40" format="5"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D13918-02D2-4062-A7C9-64A790A08F6E}" name="Rep summary" cacheId="32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39D8F04-94DC-43E4-AF7B-D4D8CEBB3A48}" sourceName="[calls].[Representative]">
  <pivotTables>
    <pivotTable tabId="6" name="Rep summary"/>
    <pivotTable tabId="6" name="Monthly trend"/>
    <pivotTable tabId="6" name="weekly trend"/>
    <pivotTable tabId="6" name="Selected rep"/>
    <pivotTable tabId="6" name="rep rating"/>
  </pivotTables>
  <data>
    <olap pivotCacheId="204864709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15F3EC4-4F43-4FF0-927E-E7418E152E96}" cache="Slicer_Representative" caption="Representative" level="1"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1E84-C086-44D8-AAEC-892A45E20228}">
  <sheetPr>
    <pageSetUpPr autoPageBreaks="0"/>
  </sheetPr>
  <dimension ref="A1:AA38"/>
  <sheetViews>
    <sheetView tabSelected="1" zoomScale="80" zoomScaleNormal="80" workbookViewId="0">
      <selection sqref="A1:M3"/>
    </sheetView>
  </sheetViews>
  <sheetFormatPr defaultRowHeight="14.4" x14ac:dyDescent="0.3"/>
  <cols>
    <col min="1" max="1" width="3.6640625" style="20" customWidth="1"/>
    <col min="2" max="2" width="2.44140625" style="20" customWidth="1"/>
    <col min="3" max="20" width="8.88671875" style="20"/>
    <col min="21" max="21" width="12.6640625" style="20" customWidth="1"/>
    <col min="22" max="22" width="9.5546875" style="20" customWidth="1"/>
    <col min="23" max="30" width="8.88671875" style="20"/>
    <col min="31" max="31" width="8.88671875" style="20" customWidth="1"/>
    <col min="32" max="16384" width="8.88671875" style="20"/>
  </cols>
  <sheetData>
    <row r="1" spans="1:13" x14ac:dyDescent="0.3">
      <c r="A1" s="47" t="s">
        <v>1085</v>
      </c>
      <c r="B1" s="47"/>
      <c r="C1" s="47"/>
      <c r="D1" s="47"/>
      <c r="E1" s="47"/>
      <c r="F1" s="47"/>
      <c r="G1" s="47"/>
      <c r="H1" s="47"/>
      <c r="I1" s="47"/>
      <c r="J1" s="47"/>
      <c r="K1" s="47"/>
      <c r="L1" s="47"/>
      <c r="M1" s="47"/>
    </row>
    <row r="2" spans="1:13" x14ac:dyDescent="0.3">
      <c r="A2" s="47"/>
      <c r="B2" s="47"/>
      <c r="C2" s="47"/>
      <c r="D2" s="47"/>
      <c r="E2" s="47"/>
      <c r="F2" s="47"/>
      <c r="G2" s="47"/>
      <c r="H2" s="47"/>
      <c r="I2" s="47"/>
      <c r="J2" s="47"/>
      <c r="K2" s="47"/>
      <c r="L2" s="47"/>
      <c r="M2" s="47"/>
    </row>
    <row r="3" spans="1:13" x14ac:dyDescent="0.3">
      <c r="A3" s="47"/>
      <c r="B3" s="47"/>
      <c r="C3" s="47"/>
      <c r="D3" s="47"/>
      <c r="E3" s="47"/>
      <c r="F3" s="47"/>
      <c r="G3" s="47"/>
      <c r="H3" s="47"/>
      <c r="I3" s="47"/>
      <c r="J3" s="47"/>
      <c r="K3" s="47"/>
      <c r="L3" s="47"/>
      <c r="M3" s="47"/>
    </row>
    <row r="5" spans="1:13" x14ac:dyDescent="0.3">
      <c r="E5" s="20" t="s">
        <v>1042</v>
      </c>
    </row>
    <row r="20" spans="19:27" x14ac:dyDescent="0.3">
      <c r="U20" s="29"/>
      <c r="V20" s="38" t="str" cm="1">
        <f t="array" ref="V20:Z20">Pivots!B94:F94</f>
        <v>R01</v>
      </c>
      <c r="W20" s="38" t="str">
        <v>R02</v>
      </c>
      <c r="X20" s="38" t="str">
        <v>R03</v>
      </c>
      <c r="Y20" s="38" t="str">
        <v>R04</v>
      </c>
      <c r="Z20" s="38" t="str">
        <v>R05</v>
      </c>
      <c r="AA20" s="39" t="s">
        <v>1076</v>
      </c>
    </row>
    <row r="21" spans="19:27" x14ac:dyDescent="0.3">
      <c r="U21" s="40" t="str" cm="1">
        <f t="array" ref="U21:AA38">IF(Pivots!A95:G112=0," ",Pivots!A95:G112)</f>
        <v>Cincinnati</v>
      </c>
      <c r="V21" s="37" t="str">
        <v xml:space="preserve"> </v>
      </c>
      <c r="W21" s="37" t="str">
        <v xml:space="preserve"> </v>
      </c>
      <c r="X21" s="37" t="str">
        <v xml:space="preserve"> </v>
      </c>
      <c r="Y21" s="37" t="str">
        <v xml:space="preserve"> </v>
      </c>
      <c r="Z21" s="37" t="str">
        <v xml:space="preserve"> </v>
      </c>
      <c r="AA21" s="30" t="str">
        <v xml:space="preserve"> </v>
      </c>
    </row>
    <row r="22" spans="19:27" ht="15.6" x14ac:dyDescent="0.3">
      <c r="U22" s="31" t="str">
        <v>C0003</v>
      </c>
      <c r="V22" s="32">
        <v>891</v>
      </c>
      <c r="W22" s="32">
        <v>1332</v>
      </c>
      <c r="X22" s="32">
        <v>1282</v>
      </c>
      <c r="Y22" s="32">
        <v>739</v>
      </c>
      <c r="Z22" s="32">
        <v>560</v>
      </c>
      <c r="AA22" s="33">
        <v>4804</v>
      </c>
    </row>
    <row r="23" spans="19:27" ht="15.6" x14ac:dyDescent="0.3">
      <c r="U23" s="31" t="str">
        <v>C0004</v>
      </c>
      <c r="V23" s="32">
        <v>1991</v>
      </c>
      <c r="W23" s="32">
        <v>1886</v>
      </c>
      <c r="X23" s="32">
        <v>1206</v>
      </c>
      <c r="Y23" s="32">
        <v>884</v>
      </c>
      <c r="Z23" s="32">
        <v>1722</v>
      </c>
      <c r="AA23" s="33">
        <v>7689</v>
      </c>
    </row>
    <row r="24" spans="19:27" ht="15.6" x14ac:dyDescent="0.3">
      <c r="U24" s="31" t="str">
        <v>C0011</v>
      </c>
      <c r="V24" s="32">
        <v>1163</v>
      </c>
      <c r="W24" s="32">
        <v>1180</v>
      </c>
      <c r="X24" s="32">
        <v>1616</v>
      </c>
      <c r="Y24" s="32">
        <v>1043</v>
      </c>
      <c r="Z24" s="32">
        <v>1747</v>
      </c>
      <c r="AA24" s="33">
        <v>6749</v>
      </c>
    </row>
    <row r="25" spans="19:27" ht="15.6" x14ac:dyDescent="0.3">
      <c r="U25" s="31" t="str">
        <v>C0012</v>
      </c>
      <c r="V25" s="32">
        <v>1438</v>
      </c>
      <c r="W25" s="32">
        <v>1616</v>
      </c>
      <c r="X25" s="32">
        <v>866</v>
      </c>
      <c r="Y25" s="32">
        <v>829</v>
      </c>
      <c r="Z25" s="32">
        <v>2070</v>
      </c>
      <c r="AA25" s="33">
        <v>6819</v>
      </c>
    </row>
    <row r="26" spans="19:27" ht="15.6" x14ac:dyDescent="0.3">
      <c r="U26" s="41" t="str">
        <v>Cleveland</v>
      </c>
      <c r="V26" s="32" t="str">
        <v xml:space="preserve"> </v>
      </c>
      <c r="W26" s="32" t="str">
        <v xml:space="preserve"> </v>
      </c>
      <c r="X26" s="32" t="str">
        <v xml:space="preserve"> </v>
      </c>
      <c r="Y26" s="32" t="str">
        <v xml:space="preserve"> </v>
      </c>
      <c r="Z26" s="32" t="str">
        <v xml:space="preserve"> </v>
      </c>
      <c r="AA26" s="33" t="str">
        <v xml:space="preserve"> </v>
      </c>
    </row>
    <row r="27" spans="19:27" ht="15.6" x14ac:dyDescent="0.3">
      <c r="U27" s="31" t="str">
        <v>C0002</v>
      </c>
      <c r="V27" s="32">
        <v>1233</v>
      </c>
      <c r="W27" s="32">
        <v>223</v>
      </c>
      <c r="X27" s="32">
        <v>1680</v>
      </c>
      <c r="Y27" s="32">
        <v>990</v>
      </c>
      <c r="Z27" s="32">
        <v>1508</v>
      </c>
      <c r="AA27" s="33">
        <v>5634</v>
      </c>
    </row>
    <row r="28" spans="19:27" ht="15.6" x14ac:dyDescent="0.3">
      <c r="U28" s="31" t="str">
        <v>C0007</v>
      </c>
      <c r="V28" s="32">
        <v>1598</v>
      </c>
      <c r="W28" s="32">
        <v>1907</v>
      </c>
      <c r="X28" s="32">
        <v>869</v>
      </c>
      <c r="Y28" s="32">
        <v>1426</v>
      </c>
      <c r="Z28" s="32">
        <v>1416</v>
      </c>
      <c r="AA28" s="33">
        <v>7216</v>
      </c>
    </row>
    <row r="29" spans="19:27" ht="15.6" x14ac:dyDescent="0.3">
      <c r="U29" s="31" t="str">
        <v>C0008</v>
      </c>
      <c r="V29" s="32">
        <v>900</v>
      </c>
      <c r="W29" s="32">
        <v>1016</v>
      </c>
      <c r="X29" s="32">
        <v>960</v>
      </c>
      <c r="Y29" s="32">
        <v>940</v>
      </c>
      <c r="Z29" s="32">
        <v>1193</v>
      </c>
      <c r="AA29" s="33">
        <v>5009</v>
      </c>
    </row>
    <row r="30" spans="19:27" ht="15.6" x14ac:dyDescent="0.3">
      <c r="U30" s="31" t="str">
        <v>C0010</v>
      </c>
      <c r="V30" s="32">
        <v>900</v>
      </c>
      <c r="W30" s="32">
        <v>1470</v>
      </c>
      <c r="X30" s="32">
        <v>1617</v>
      </c>
      <c r="Y30" s="32">
        <v>1314</v>
      </c>
      <c r="Z30" s="32">
        <v>941</v>
      </c>
      <c r="AA30" s="33">
        <v>6242</v>
      </c>
    </row>
    <row r="31" spans="19:27" ht="15.6" x14ac:dyDescent="0.3">
      <c r="S31" s="43" t="str">
        <f>Pivots!L65</f>
        <v xml:space="preserve"> </v>
      </c>
      <c r="T31" s="44"/>
      <c r="U31" s="31" t="str">
        <v>C0013</v>
      </c>
      <c r="V31" s="32">
        <v>1255</v>
      </c>
      <c r="W31" s="32">
        <v>516</v>
      </c>
      <c r="X31" s="32">
        <v>1874</v>
      </c>
      <c r="Y31" s="32">
        <v>1863</v>
      </c>
      <c r="Z31" s="32">
        <v>1722</v>
      </c>
      <c r="AA31" s="33">
        <v>7230</v>
      </c>
    </row>
    <row r="32" spans="19:27" ht="15.6" x14ac:dyDescent="0.3">
      <c r="S32" s="43"/>
      <c r="T32" s="44"/>
      <c r="U32" s="31" t="str">
        <v>C0015</v>
      </c>
      <c r="V32" s="32">
        <v>1138</v>
      </c>
      <c r="W32" s="32">
        <v>1898</v>
      </c>
      <c r="X32" s="32">
        <v>1482</v>
      </c>
      <c r="Y32" s="32">
        <v>846</v>
      </c>
      <c r="Z32" s="32">
        <v>1154</v>
      </c>
      <c r="AA32" s="33">
        <v>6518</v>
      </c>
    </row>
    <row r="33" spans="19:27" ht="15.6" x14ac:dyDescent="0.3">
      <c r="S33" s="43"/>
      <c r="T33" s="44"/>
      <c r="U33" s="41" t="str">
        <v>Columbus</v>
      </c>
      <c r="V33" s="32" t="str">
        <v xml:space="preserve"> </v>
      </c>
      <c r="W33" s="32" t="str">
        <v xml:space="preserve"> </v>
      </c>
      <c r="X33" s="32" t="str">
        <v xml:space="preserve"> </v>
      </c>
      <c r="Y33" s="32" t="str">
        <v xml:space="preserve"> </v>
      </c>
      <c r="Z33" s="32" t="str">
        <v xml:space="preserve"> </v>
      </c>
      <c r="AA33" s="33" t="str">
        <v xml:space="preserve"> </v>
      </c>
    </row>
    <row r="34" spans="19:27" ht="15.6" x14ac:dyDescent="0.3">
      <c r="S34" s="43"/>
      <c r="T34" s="44"/>
      <c r="U34" s="31" t="str">
        <v>C0001</v>
      </c>
      <c r="V34" s="32">
        <v>1655</v>
      </c>
      <c r="W34" s="32">
        <v>805</v>
      </c>
      <c r="X34" s="32">
        <v>2263</v>
      </c>
      <c r="Y34" s="32">
        <v>987</v>
      </c>
      <c r="Z34" s="32">
        <v>1075</v>
      </c>
      <c r="AA34" s="33">
        <v>6785</v>
      </c>
    </row>
    <row r="35" spans="19:27" ht="15.6" x14ac:dyDescent="0.3">
      <c r="S35" s="43"/>
      <c r="T35" s="44"/>
      <c r="U35" s="31" t="str">
        <v>C0005</v>
      </c>
      <c r="V35" s="32">
        <v>1104</v>
      </c>
      <c r="W35" s="32">
        <v>2280</v>
      </c>
      <c r="X35" s="32">
        <v>1445</v>
      </c>
      <c r="Y35" s="32">
        <v>1722</v>
      </c>
      <c r="Z35" s="32">
        <v>1196</v>
      </c>
      <c r="AA35" s="33">
        <v>7747</v>
      </c>
    </row>
    <row r="36" spans="19:27" ht="15.6" x14ac:dyDescent="0.3">
      <c r="S36" s="45" t="str">
        <f>Pivots!L61</f>
        <v>% of calls: 100%</v>
      </c>
      <c r="T36" s="46"/>
      <c r="U36" s="31" t="str">
        <v>C0006</v>
      </c>
      <c r="V36" s="32">
        <v>372</v>
      </c>
      <c r="W36" s="32">
        <v>1818</v>
      </c>
      <c r="X36" s="32">
        <v>1346</v>
      </c>
      <c r="Y36" s="32">
        <v>1156</v>
      </c>
      <c r="Z36" s="32">
        <v>1484</v>
      </c>
      <c r="AA36" s="33">
        <v>6176</v>
      </c>
    </row>
    <row r="37" spans="19:27" ht="15.6" x14ac:dyDescent="0.3">
      <c r="S37" s="45" t="str">
        <f>Pivots!L62</f>
        <v xml:space="preserve"> </v>
      </c>
      <c r="T37" s="46"/>
      <c r="U37" s="31" t="str">
        <v>C0009</v>
      </c>
      <c r="V37" s="32">
        <v>1415</v>
      </c>
      <c r="W37" s="32">
        <v>1271</v>
      </c>
      <c r="X37" s="32">
        <v>1214</v>
      </c>
      <c r="Y37" s="32">
        <v>1135</v>
      </c>
      <c r="Z37" s="32">
        <v>1566</v>
      </c>
      <c r="AA37" s="33">
        <v>6601</v>
      </c>
    </row>
    <row r="38" spans="19:27" ht="15.6" x14ac:dyDescent="0.3">
      <c r="S38" s="45" t="str">
        <f>Pivots!L63</f>
        <v xml:space="preserve"> </v>
      </c>
      <c r="T38" s="46"/>
      <c r="U38" s="34" t="str">
        <v>C0014</v>
      </c>
      <c r="V38" s="35">
        <v>1362</v>
      </c>
      <c r="W38" s="35">
        <v>1363</v>
      </c>
      <c r="X38" s="35">
        <v>1152</v>
      </c>
      <c r="Y38" s="35">
        <v>777</v>
      </c>
      <c r="Z38" s="35">
        <v>750</v>
      </c>
      <c r="AA38" s="36">
        <v>5404</v>
      </c>
    </row>
  </sheetData>
  <mergeCells count="5">
    <mergeCell ref="S31:T35"/>
    <mergeCell ref="S36:T36"/>
    <mergeCell ref="S37:T37"/>
    <mergeCell ref="S38:T38"/>
    <mergeCell ref="A1:M3"/>
  </mergeCells>
  <conditionalFormatting sqref="V21:Z38">
    <cfRule type="dataBar" priority="2">
      <dataBar>
        <cfvo type="num" val="0"/>
        <cfvo type="formula" val="MAX($V$22:$Z$38)*2"/>
        <color theme="4"/>
      </dataBar>
      <extLst>
        <ext xmlns:x14="http://schemas.microsoft.com/office/spreadsheetml/2009/9/main" uri="{B025F937-C7B1-47D3-B67F-A62EFF666E3E}">
          <x14:id>{0554270D-A8D3-468D-B492-AC78A2477645}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0554270D-A8D3-468D-B492-AC78A2477645}">
            <x14:dataBar minLength="0" maxLength="100" border="1" negativeBarBorderColorSameAsPositive="0">
              <x14:cfvo type="num">
                <xm:f>0</xm:f>
              </x14:cfvo>
              <x14:cfvo type="formula">
                <xm:f>MAX($V$22:$Z$38)*2</xm:f>
              </x14:cfvo>
              <x14:borderColor rgb="FF008AEF"/>
              <x14:negativeFillColor rgb="FFFF0000"/>
              <x14:negativeBorderColor rgb="FFFF0000"/>
              <x14:axisColor rgb="FF000000"/>
            </x14:dataBar>
          </x14:cfRule>
          <xm:sqref>V21:Z38</xm:sqref>
        </x14:conditionalFormatting>
        <x14:conditionalFormatting xmlns:xm="http://schemas.microsoft.com/office/excel/2006/main">
          <x14:cfRule type="expression" priority="1" id="{9C6FA2FF-43D8-4B9F-9CD5-549000CDDA19}">
            <xm:f>V$20=Pivots!$A$46</xm:f>
            <x14:dxf>
              <fill>
                <patternFill>
                  <bgColor theme="4" tint="0.79998168889431442"/>
                </patternFill>
              </fill>
              <border>
                <left style="thin">
                  <color auto="1"/>
                </left>
                <right style="thin">
                  <color auto="1"/>
                </right>
                <top style="thin">
                  <color auto="1"/>
                </top>
                <bottom style="thin">
                  <color auto="1"/>
                </bottom>
                <vertical/>
                <horizontal/>
              </border>
            </x14:dxf>
          </x14:cfRule>
          <xm:sqref>V20:Z38</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CE12C-84EB-4433-A12E-3F803A5C112C}">
  <dimension ref="A3:L112"/>
  <sheetViews>
    <sheetView topLeftCell="A19" zoomScale="110" zoomScaleNormal="110" workbookViewId="0">
      <selection activeCell="P40" sqref="P40"/>
    </sheetView>
  </sheetViews>
  <sheetFormatPr defaultRowHeight="14.4" x14ac:dyDescent="0.3"/>
  <cols>
    <col min="1" max="1" width="12.5546875" bestFit="1" customWidth="1"/>
    <col min="2" max="2" width="9.6640625" bestFit="1" customWidth="1"/>
    <col min="3" max="3" width="10.6640625" bestFit="1" customWidth="1"/>
    <col min="4" max="4" width="10" bestFit="1" customWidth="1"/>
    <col min="5" max="5" width="11.6640625" bestFit="1" customWidth="1"/>
    <col min="6" max="6" width="6.44140625" bestFit="1" customWidth="1"/>
    <col min="7" max="7" width="11" bestFit="1" customWidth="1"/>
    <col min="8" max="8" width="15.5546875" bestFit="1" customWidth="1"/>
    <col min="9" max="9" width="12.5546875" bestFit="1" customWidth="1"/>
    <col min="10" max="10" width="9.6640625" bestFit="1" customWidth="1"/>
    <col min="11" max="12" width="15.5546875" bestFit="1" customWidth="1"/>
    <col min="13" max="13" width="11" bestFit="1" customWidth="1"/>
    <col min="14" max="330" width="15.5546875" bestFit="1" customWidth="1"/>
    <col min="331" max="331" width="11" bestFit="1" customWidth="1"/>
  </cols>
  <sheetData>
    <row r="3" spans="1:10" x14ac:dyDescent="0.3">
      <c r="A3" t="s">
        <v>1043</v>
      </c>
      <c r="B3" t="s">
        <v>1044</v>
      </c>
      <c r="C3" t="s">
        <v>1045</v>
      </c>
      <c r="D3" t="s">
        <v>1046</v>
      </c>
      <c r="E3" t="s">
        <v>1047</v>
      </c>
    </row>
    <row r="4" spans="1:10" x14ac:dyDescent="0.3">
      <c r="A4" s="22">
        <v>1000</v>
      </c>
      <c r="B4" s="23">
        <v>96623</v>
      </c>
      <c r="C4" s="22">
        <v>89850</v>
      </c>
      <c r="D4" s="21">
        <v>3.8854000000000033</v>
      </c>
      <c r="E4" s="22">
        <v>307</v>
      </c>
    </row>
    <row r="9" spans="1:10" x14ac:dyDescent="0.3">
      <c r="A9" t="s">
        <v>1043</v>
      </c>
      <c r="B9" t="s">
        <v>1044</v>
      </c>
      <c r="C9" t="s">
        <v>1045</v>
      </c>
      <c r="D9" t="s">
        <v>1046</v>
      </c>
      <c r="E9" t="s">
        <v>1047</v>
      </c>
    </row>
    <row r="10" spans="1:10" x14ac:dyDescent="0.3">
      <c r="A10" s="22">
        <v>1000</v>
      </c>
      <c r="B10" s="23">
        <v>96623</v>
      </c>
      <c r="C10" s="22">
        <v>89850</v>
      </c>
      <c r="D10" s="21">
        <v>3.8854000000000033</v>
      </c>
      <c r="E10" s="22">
        <v>307</v>
      </c>
    </row>
    <row r="14" spans="1:10" x14ac:dyDescent="0.3">
      <c r="I14" s="24" t="s">
        <v>1048</v>
      </c>
      <c r="J14" t="s">
        <v>1043</v>
      </c>
    </row>
    <row r="15" spans="1:10" x14ac:dyDescent="0.3">
      <c r="A15" s="24" t="s">
        <v>1048</v>
      </c>
      <c r="B15" t="s">
        <v>1043</v>
      </c>
      <c r="C15" t="s">
        <v>1062</v>
      </c>
      <c r="I15" s="25" t="s">
        <v>1065</v>
      </c>
      <c r="J15" s="22">
        <v>161</v>
      </c>
    </row>
    <row r="16" spans="1:10" x14ac:dyDescent="0.3">
      <c r="A16" s="25" t="s">
        <v>1050</v>
      </c>
      <c r="B16" s="22">
        <v>79</v>
      </c>
      <c r="C16" s="22">
        <v>79</v>
      </c>
      <c r="I16" s="25" t="s">
        <v>1063</v>
      </c>
      <c r="J16" s="22">
        <v>141</v>
      </c>
    </row>
    <row r="17" spans="1:10" x14ac:dyDescent="0.3">
      <c r="A17" s="25" t="s">
        <v>1051</v>
      </c>
      <c r="B17" s="22">
        <v>66</v>
      </c>
      <c r="C17" s="22">
        <v>66</v>
      </c>
      <c r="I17" s="25" t="s">
        <v>1067</v>
      </c>
      <c r="J17" s="22">
        <v>128</v>
      </c>
    </row>
    <row r="18" spans="1:10" x14ac:dyDescent="0.3">
      <c r="A18" s="25" t="s">
        <v>1052</v>
      </c>
      <c r="B18" s="22">
        <v>155</v>
      </c>
      <c r="C18" s="22">
        <v>155</v>
      </c>
      <c r="I18" s="25" t="s">
        <v>1069</v>
      </c>
      <c r="J18" s="22">
        <v>153</v>
      </c>
    </row>
    <row r="19" spans="1:10" x14ac:dyDescent="0.3">
      <c r="A19" s="25" t="s">
        <v>1053</v>
      </c>
      <c r="B19" s="22">
        <v>136</v>
      </c>
      <c r="C19" s="22">
        <v>136</v>
      </c>
      <c r="I19" s="25" t="s">
        <v>1068</v>
      </c>
      <c r="J19" s="22">
        <v>138</v>
      </c>
    </row>
    <row r="20" spans="1:10" x14ac:dyDescent="0.3">
      <c r="A20" s="25" t="s">
        <v>1054</v>
      </c>
      <c r="B20" s="22">
        <v>83</v>
      </c>
      <c r="C20" s="22">
        <v>83</v>
      </c>
      <c r="I20" s="25" t="s">
        <v>1064</v>
      </c>
      <c r="J20" s="22">
        <v>133</v>
      </c>
    </row>
    <row r="21" spans="1:10" x14ac:dyDescent="0.3">
      <c r="A21" s="25" t="s">
        <v>1055</v>
      </c>
      <c r="B21" s="22">
        <v>67</v>
      </c>
      <c r="C21" s="22">
        <v>67</v>
      </c>
      <c r="I21" s="25" t="s">
        <v>1066</v>
      </c>
      <c r="J21" s="22">
        <v>146</v>
      </c>
    </row>
    <row r="22" spans="1:10" x14ac:dyDescent="0.3">
      <c r="A22" s="25" t="s">
        <v>1056</v>
      </c>
      <c r="B22" s="22">
        <v>64</v>
      </c>
      <c r="C22" s="22">
        <v>64</v>
      </c>
      <c r="I22" s="25" t="s">
        <v>1049</v>
      </c>
      <c r="J22" s="22">
        <v>1000</v>
      </c>
    </row>
    <row r="23" spans="1:10" x14ac:dyDescent="0.3">
      <c r="A23" s="25" t="s">
        <v>1057</v>
      </c>
      <c r="B23" s="22">
        <v>50</v>
      </c>
      <c r="C23" s="22">
        <v>50</v>
      </c>
    </row>
    <row r="24" spans="1:10" x14ac:dyDescent="0.3">
      <c r="A24" s="25" t="s">
        <v>1058</v>
      </c>
      <c r="B24" s="22">
        <v>76</v>
      </c>
      <c r="C24" s="22">
        <v>76</v>
      </c>
    </row>
    <row r="25" spans="1:10" x14ac:dyDescent="0.3">
      <c r="A25" s="25" t="s">
        <v>1059</v>
      </c>
      <c r="B25" s="22">
        <v>114</v>
      </c>
      <c r="C25" s="22">
        <v>114</v>
      </c>
    </row>
    <row r="26" spans="1:10" x14ac:dyDescent="0.3">
      <c r="A26" s="25" t="s">
        <v>1060</v>
      </c>
      <c r="B26" s="22">
        <v>57</v>
      </c>
      <c r="C26" s="22">
        <v>57</v>
      </c>
    </row>
    <row r="27" spans="1:10" x14ac:dyDescent="0.3">
      <c r="A27" s="25" t="s">
        <v>1061</v>
      </c>
      <c r="B27" s="22">
        <v>53</v>
      </c>
      <c r="C27" s="22">
        <v>53</v>
      </c>
    </row>
    <row r="28" spans="1:10" x14ac:dyDescent="0.3">
      <c r="A28" s="25" t="s">
        <v>1049</v>
      </c>
      <c r="B28" s="22">
        <v>1000</v>
      </c>
      <c r="C28" s="22">
        <v>1000</v>
      </c>
    </row>
    <row r="34" spans="1:10" x14ac:dyDescent="0.3">
      <c r="I34" t="str">
        <f>A46</f>
        <v>R01</v>
      </c>
    </row>
    <row r="36" spans="1:10" x14ac:dyDescent="0.3">
      <c r="A36" s="24" t="s">
        <v>1048</v>
      </c>
      <c r="B36" t="s">
        <v>1043</v>
      </c>
      <c r="C36" t="s">
        <v>1044</v>
      </c>
      <c r="F36" t="s">
        <v>1070</v>
      </c>
      <c r="G36" t="s">
        <v>1071</v>
      </c>
      <c r="H36" t="s">
        <v>1072</v>
      </c>
      <c r="I36" t="s">
        <v>1073</v>
      </c>
      <c r="J36" t="s">
        <v>1074</v>
      </c>
    </row>
    <row r="37" spans="1:10" x14ac:dyDescent="0.3">
      <c r="A37" s="25" t="s">
        <v>11</v>
      </c>
      <c r="B37" s="22">
        <v>189</v>
      </c>
      <c r="C37" s="23">
        <v>18415</v>
      </c>
      <c r="F37" t="str" cm="1">
        <f t="array" ref="F37:H41">A37:C41</f>
        <v>R01</v>
      </c>
      <c r="G37">
        <v>189</v>
      </c>
      <c r="H37" s="27">
        <v>18415</v>
      </c>
      <c r="I37" cm="1">
        <f t="array" ref="I37">_xlfn.IFS(F37=$I$34,G37,TRUE,"NA")</f>
        <v>189</v>
      </c>
      <c r="J37" cm="1">
        <f t="array" ref="J37">_xlfn.IFS(F37=$I$34,H37,TRUE, "NA")</f>
        <v>18415</v>
      </c>
    </row>
    <row r="38" spans="1:10" x14ac:dyDescent="0.3">
      <c r="A38" s="25" t="s">
        <v>9</v>
      </c>
      <c r="B38" s="22">
        <v>218</v>
      </c>
      <c r="C38" s="23">
        <v>20581</v>
      </c>
      <c r="F38" t="str">
        <v>R02</v>
      </c>
      <c r="G38">
        <v>218</v>
      </c>
      <c r="H38" s="27">
        <v>20581</v>
      </c>
      <c r="I38" t="str" cm="1">
        <f t="array" ref="I38">_xlfn.IFS(F38=$I$34,G38,TRUE,"NA")</f>
        <v>NA</v>
      </c>
      <c r="J38" t="str" cm="1">
        <f t="array" ref="J38">_xlfn.IFS(F38=$I$34,H38,TRUE, "NA")</f>
        <v>NA</v>
      </c>
    </row>
    <row r="39" spans="1:10" x14ac:dyDescent="0.3">
      <c r="A39" s="25" t="s">
        <v>6</v>
      </c>
      <c r="B39" s="22">
        <v>207</v>
      </c>
      <c r="C39" s="23">
        <v>20872</v>
      </c>
      <c r="F39" t="str">
        <v>R03</v>
      </c>
      <c r="G39">
        <v>207</v>
      </c>
      <c r="H39" s="27">
        <v>20872</v>
      </c>
      <c r="I39" t="str" cm="1">
        <f t="array" ref="I39">_xlfn.IFS(F39=$I$34,G39,TRUE,"NA")</f>
        <v>NA</v>
      </c>
      <c r="J39" t="str" cm="1">
        <f t="array" ref="J39">_xlfn.IFS(F39=$I$34,H39,TRUE, "NA")</f>
        <v>NA</v>
      </c>
    </row>
    <row r="40" spans="1:10" x14ac:dyDescent="0.3">
      <c r="A40" s="25" t="s">
        <v>13</v>
      </c>
      <c r="B40" s="22">
        <v>186</v>
      </c>
      <c r="C40" s="23">
        <v>16651</v>
      </c>
      <c r="F40" t="str">
        <v>R04</v>
      </c>
      <c r="G40">
        <v>186</v>
      </c>
      <c r="H40" s="27">
        <v>16651</v>
      </c>
      <c r="I40" t="str" cm="1">
        <f t="array" ref="I40">_xlfn.IFS(F40=$I$34,G40,TRUE,"NA")</f>
        <v>NA</v>
      </c>
      <c r="J40" t="str" cm="1">
        <f t="array" ref="J40">_xlfn.IFS(F40=$I$34,H40,TRUE, "NA")</f>
        <v>NA</v>
      </c>
    </row>
    <row r="41" spans="1:10" x14ac:dyDescent="0.3">
      <c r="A41" s="25" t="s">
        <v>10</v>
      </c>
      <c r="B41" s="22">
        <v>200</v>
      </c>
      <c r="C41" s="23">
        <v>20104</v>
      </c>
      <c r="F41" t="str">
        <v>R05</v>
      </c>
      <c r="G41">
        <v>200</v>
      </c>
      <c r="H41" s="27">
        <v>20104</v>
      </c>
      <c r="I41" t="str" cm="1">
        <f t="array" ref="I41">_xlfn.IFS(F41=$I$34,G41,TRUE,"NA")</f>
        <v>NA</v>
      </c>
      <c r="J41" t="str" cm="1">
        <f t="array" ref="J41">_xlfn.IFS(F41=$I$34,H41,TRUE, "NA")</f>
        <v>NA</v>
      </c>
    </row>
    <row r="42" spans="1:10" x14ac:dyDescent="0.3">
      <c r="A42" s="25" t="s">
        <v>1049</v>
      </c>
      <c r="B42" s="22">
        <v>1000</v>
      </c>
      <c r="C42" s="23">
        <v>96623</v>
      </c>
    </row>
    <row r="45" spans="1:10" x14ac:dyDescent="0.3">
      <c r="A45" s="24" t="s">
        <v>1048</v>
      </c>
    </row>
    <row r="46" spans="1:10" x14ac:dyDescent="0.3">
      <c r="A46" s="25" t="s">
        <v>11</v>
      </c>
    </row>
    <row r="47" spans="1:10" x14ac:dyDescent="0.3">
      <c r="A47" s="25" t="s">
        <v>9</v>
      </c>
    </row>
    <row r="48" spans="1:10" x14ac:dyDescent="0.3">
      <c r="A48" s="25" t="s">
        <v>6</v>
      </c>
    </row>
    <row r="49" spans="1:12" x14ac:dyDescent="0.3">
      <c r="A49" s="25" t="s">
        <v>13</v>
      </c>
    </row>
    <row r="50" spans="1:12" x14ac:dyDescent="0.3">
      <c r="A50" s="25" t="s">
        <v>10</v>
      </c>
      <c r="K50" t="s">
        <v>1077</v>
      </c>
    </row>
    <row r="52" spans="1:12" x14ac:dyDescent="0.3">
      <c r="K52" t="s">
        <v>1078</v>
      </c>
      <c r="L52" s="42">
        <f>$A$10/$A$4</f>
        <v>1</v>
      </c>
    </row>
    <row r="53" spans="1:12" x14ac:dyDescent="0.3">
      <c r="K53" t="s">
        <v>1081</v>
      </c>
      <c r="L53">
        <f>_xlfn.XLOOKUP(A46,F37:F41,G37:G41)</f>
        <v>189</v>
      </c>
    </row>
    <row r="54" spans="1:12" x14ac:dyDescent="0.3">
      <c r="K54" t="s">
        <v>1082</v>
      </c>
      <c r="L54">
        <f>_xlfn.XLOOKUP(A46,F37:F41,H37:H41)</f>
        <v>18415</v>
      </c>
    </row>
    <row r="57" spans="1:12" x14ac:dyDescent="0.3">
      <c r="K57" t="s">
        <v>1079</v>
      </c>
      <c r="L57">
        <f>_xlfn.RANK.AVG(L53,G37:G41)</f>
        <v>4</v>
      </c>
    </row>
    <row r="58" spans="1:12" x14ac:dyDescent="0.3">
      <c r="K58" t="s">
        <v>1080</v>
      </c>
      <c r="L58">
        <f>_xlfn.RANK.AVG(L54,H37:H41)</f>
        <v>4</v>
      </c>
    </row>
    <row r="60" spans="1:12" x14ac:dyDescent="0.3">
      <c r="A60" s="24" t="s">
        <v>1043</v>
      </c>
      <c r="B60" s="24" t="s">
        <v>1075</v>
      </c>
      <c r="K60" t="s">
        <v>1083</v>
      </c>
    </row>
    <row r="61" spans="1:12" x14ac:dyDescent="0.3">
      <c r="A61" s="24" t="s">
        <v>1048</v>
      </c>
      <c r="B61" t="s">
        <v>999</v>
      </c>
      <c r="C61" t="s">
        <v>998</v>
      </c>
      <c r="D61" t="s">
        <v>1049</v>
      </c>
      <c r="L61" t="str">
        <f>"% of calls: "&amp;TEXT(L52,"0%")</f>
        <v>% of calls: 100%</v>
      </c>
    </row>
    <row r="62" spans="1:12" x14ac:dyDescent="0.3">
      <c r="A62" s="25" t="s">
        <v>1002</v>
      </c>
      <c r="B62" s="22">
        <v>144</v>
      </c>
      <c r="C62" s="22">
        <v>132</v>
      </c>
      <c r="D62" s="22">
        <v>276</v>
      </c>
      <c r="L62" t="str">
        <f>IF(COUNTA(A46:A50)&gt;1," ","Call Rank: "&amp;L57)</f>
        <v xml:space="preserve"> </v>
      </c>
    </row>
    <row r="63" spans="1:12" x14ac:dyDescent="0.3">
      <c r="A63" s="25" t="s">
        <v>1001</v>
      </c>
      <c r="B63" s="22">
        <v>326</v>
      </c>
      <c r="C63" s="22">
        <v>63</v>
      </c>
      <c r="D63" s="22">
        <v>389</v>
      </c>
      <c r="L63" t="str">
        <f>IF(COUNTA(A46:A50)&gt;1," ","Amount Rank: "&amp;L58)</f>
        <v xml:space="preserve"> </v>
      </c>
    </row>
    <row r="64" spans="1:12" x14ac:dyDescent="0.3">
      <c r="A64" s="25" t="s">
        <v>1000</v>
      </c>
      <c r="B64" s="22">
        <v>129</v>
      </c>
      <c r="C64" s="22">
        <v>206</v>
      </c>
      <c r="D64" s="22">
        <v>335</v>
      </c>
    </row>
    <row r="65" spans="1:12" x14ac:dyDescent="0.3">
      <c r="A65" s="25" t="s">
        <v>1049</v>
      </c>
      <c r="B65" s="22">
        <v>599</v>
      </c>
      <c r="C65" s="22">
        <v>401</v>
      </c>
      <c r="D65" s="22">
        <v>1000</v>
      </c>
      <c r="K65" t="s">
        <v>1084</v>
      </c>
      <c r="L65" t="str">
        <f>IF(COUNTA(A46:A50)&gt;1," ",_xlfn.XLOOKUP(A46,Assets!E3:E7,Assets!F3:F7))</f>
        <v xml:space="preserve"> </v>
      </c>
    </row>
    <row r="75" spans="1:12" x14ac:dyDescent="0.3">
      <c r="A75" s="24" t="s">
        <v>1048</v>
      </c>
      <c r="B75" t="s">
        <v>1043</v>
      </c>
    </row>
    <row r="76" spans="1:12" x14ac:dyDescent="0.3">
      <c r="A76" s="25">
        <v>0</v>
      </c>
      <c r="B76" s="22">
        <v>1</v>
      </c>
    </row>
    <row r="77" spans="1:12" x14ac:dyDescent="0.3">
      <c r="A77" s="25">
        <v>1</v>
      </c>
      <c r="B77" s="22">
        <v>8</v>
      </c>
    </row>
    <row r="78" spans="1:12" x14ac:dyDescent="0.3">
      <c r="A78" s="25">
        <v>2</v>
      </c>
      <c r="B78" s="22">
        <v>59</v>
      </c>
    </row>
    <row r="79" spans="1:12" x14ac:dyDescent="0.3">
      <c r="A79" s="25">
        <v>3</v>
      </c>
      <c r="B79" s="22">
        <v>197</v>
      </c>
    </row>
    <row r="80" spans="1:12" x14ac:dyDescent="0.3">
      <c r="A80" s="25">
        <v>4</v>
      </c>
      <c r="B80" s="22">
        <v>428</v>
      </c>
    </row>
    <row r="81" spans="1:7" x14ac:dyDescent="0.3">
      <c r="A81" s="25">
        <v>5</v>
      </c>
      <c r="B81" s="22">
        <v>307</v>
      </c>
    </row>
    <row r="82" spans="1:7" x14ac:dyDescent="0.3">
      <c r="A82" s="25" t="s">
        <v>1049</v>
      </c>
      <c r="B82" s="22">
        <v>1000</v>
      </c>
    </row>
    <row r="93" spans="1:7" x14ac:dyDescent="0.3">
      <c r="A93" s="24" t="s">
        <v>1044</v>
      </c>
      <c r="B93" s="24" t="s">
        <v>1075</v>
      </c>
    </row>
    <row r="94" spans="1:7" x14ac:dyDescent="0.3">
      <c r="A94" s="24" t="s">
        <v>1048</v>
      </c>
      <c r="B94" t="s">
        <v>11</v>
      </c>
      <c r="C94" t="s">
        <v>9</v>
      </c>
      <c r="D94" t="s">
        <v>6</v>
      </c>
      <c r="E94" t="s">
        <v>13</v>
      </c>
      <c r="F94" t="s">
        <v>10</v>
      </c>
      <c r="G94" t="s">
        <v>1049</v>
      </c>
    </row>
    <row r="95" spans="1:7" x14ac:dyDescent="0.3">
      <c r="A95" s="25" t="s">
        <v>1002</v>
      </c>
      <c r="B95" s="26"/>
      <c r="C95" s="26"/>
      <c r="D95" s="26"/>
      <c r="E95" s="26"/>
      <c r="F95" s="26"/>
      <c r="G95" s="26"/>
    </row>
    <row r="96" spans="1:7" x14ac:dyDescent="0.3">
      <c r="A96" s="28" t="s">
        <v>20</v>
      </c>
      <c r="B96" s="23">
        <v>891</v>
      </c>
      <c r="C96" s="23">
        <v>1332</v>
      </c>
      <c r="D96" s="23">
        <v>1282</v>
      </c>
      <c r="E96" s="23">
        <v>739</v>
      </c>
      <c r="F96" s="23">
        <v>560</v>
      </c>
      <c r="G96" s="23">
        <v>4804</v>
      </c>
    </row>
    <row r="97" spans="1:7" x14ac:dyDescent="0.3">
      <c r="A97" s="28" t="s">
        <v>12</v>
      </c>
      <c r="B97" s="23">
        <v>1991</v>
      </c>
      <c r="C97" s="23">
        <v>1886</v>
      </c>
      <c r="D97" s="23">
        <v>1206</v>
      </c>
      <c r="E97" s="23">
        <v>884</v>
      </c>
      <c r="F97" s="23">
        <v>1722</v>
      </c>
      <c r="G97" s="23">
        <v>7689</v>
      </c>
    </row>
    <row r="98" spans="1:7" x14ac:dyDescent="0.3">
      <c r="A98" s="28" t="s">
        <v>8</v>
      </c>
      <c r="B98" s="23">
        <v>1163</v>
      </c>
      <c r="C98" s="23">
        <v>1180</v>
      </c>
      <c r="D98" s="23">
        <v>1616</v>
      </c>
      <c r="E98" s="23">
        <v>1043</v>
      </c>
      <c r="F98" s="23">
        <v>1747</v>
      </c>
      <c r="G98" s="23">
        <v>6749</v>
      </c>
    </row>
    <row r="99" spans="1:7" x14ac:dyDescent="0.3">
      <c r="A99" s="28" t="s">
        <v>16</v>
      </c>
      <c r="B99" s="23">
        <v>1438</v>
      </c>
      <c r="C99" s="23">
        <v>1616</v>
      </c>
      <c r="D99" s="23">
        <v>866</v>
      </c>
      <c r="E99" s="23">
        <v>829</v>
      </c>
      <c r="F99" s="23">
        <v>2070</v>
      </c>
      <c r="G99" s="23">
        <v>6819</v>
      </c>
    </row>
    <row r="100" spans="1:7" x14ac:dyDescent="0.3">
      <c r="A100" s="25" t="s">
        <v>1001</v>
      </c>
      <c r="B100" s="26"/>
      <c r="C100" s="26"/>
      <c r="D100" s="26"/>
      <c r="E100" s="26"/>
      <c r="F100" s="26"/>
      <c r="G100" s="26"/>
    </row>
    <row r="101" spans="1:7" x14ac:dyDescent="0.3">
      <c r="A101" s="28" t="s">
        <v>24</v>
      </c>
      <c r="B101" s="23">
        <v>1233</v>
      </c>
      <c r="C101" s="23">
        <v>223</v>
      </c>
      <c r="D101" s="23">
        <v>1680</v>
      </c>
      <c r="E101" s="23">
        <v>990</v>
      </c>
      <c r="F101" s="23">
        <v>1508</v>
      </c>
      <c r="G101" s="23">
        <v>5634</v>
      </c>
    </row>
    <row r="102" spans="1:7" x14ac:dyDescent="0.3">
      <c r="A102" s="28" t="s">
        <v>15</v>
      </c>
      <c r="B102" s="23">
        <v>1598</v>
      </c>
      <c r="C102" s="23">
        <v>1907</v>
      </c>
      <c r="D102" s="23">
        <v>869</v>
      </c>
      <c r="E102" s="23">
        <v>1426</v>
      </c>
      <c r="F102" s="23">
        <v>1416</v>
      </c>
      <c r="G102" s="23">
        <v>7216</v>
      </c>
    </row>
    <row r="103" spans="1:7" x14ac:dyDescent="0.3">
      <c r="A103" s="28" t="s">
        <v>5</v>
      </c>
      <c r="B103" s="23">
        <v>900</v>
      </c>
      <c r="C103" s="23">
        <v>1016</v>
      </c>
      <c r="D103" s="23">
        <v>960</v>
      </c>
      <c r="E103" s="23">
        <v>940</v>
      </c>
      <c r="F103" s="23">
        <v>1193</v>
      </c>
      <c r="G103" s="23">
        <v>5009</v>
      </c>
    </row>
    <row r="104" spans="1:7" x14ac:dyDescent="0.3">
      <c r="A104" s="28" t="s">
        <v>18</v>
      </c>
      <c r="B104" s="23">
        <v>900</v>
      </c>
      <c r="C104" s="23">
        <v>1470</v>
      </c>
      <c r="D104" s="23">
        <v>1617</v>
      </c>
      <c r="E104" s="23">
        <v>1314</v>
      </c>
      <c r="F104" s="23">
        <v>941</v>
      </c>
      <c r="G104" s="23">
        <v>6242</v>
      </c>
    </row>
    <row r="105" spans="1:7" x14ac:dyDescent="0.3">
      <c r="A105" s="28" t="s">
        <v>14</v>
      </c>
      <c r="B105" s="23">
        <v>1255</v>
      </c>
      <c r="C105" s="23">
        <v>516</v>
      </c>
      <c r="D105" s="23">
        <v>1874</v>
      </c>
      <c r="E105" s="23">
        <v>1863</v>
      </c>
      <c r="F105" s="23">
        <v>1722</v>
      </c>
      <c r="G105" s="23">
        <v>7230</v>
      </c>
    </row>
    <row r="106" spans="1:7" x14ac:dyDescent="0.3">
      <c r="A106" s="28" t="s">
        <v>19</v>
      </c>
      <c r="B106" s="23">
        <v>1138</v>
      </c>
      <c r="C106" s="23">
        <v>1898</v>
      </c>
      <c r="D106" s="23">
        <v>1482</v>
      </c>
      <c r="E106" s="23">
        <v>846</v>
      </c>
      <c r="F106" s="23">
        <v>1154</v>
      </c>
      <c r="G106" s="23">
        <v>6518</v>
      </c>
    </row>
    <row r="107" spans="1:7" x14ac:dyDescent="0.3">
      <c r="A107" s="25" t="s">
        <v>1000</v>
      </c>
      <c r="B107" s="26"/>
      <c r="C107" s="26"/>
      <c r="D107" s="26"/>
      <c r="E107" s="26"/>
      <c r="F107" s="26"/>
      <c r="G107" s="26"/>
    </row>
    <row r="108" spans="1:7" x14ac:dyDescent="0.3">
      <c r="A108" s="28" t="s">
        <v>17</v>
      </c>
      <c r="B108" s="23">
        <v>1655</v>
      </c>
      <c r="C108" s="23">
        <v>805</v>
      </c>
      <c r="D108" s="23">
        <v>2263</v>
      </c>
      <c r="E108" s="23">
        <v>987</v>
      </c>
      <c r="F108" s="23">
        <v>1075</v>
      </c>
      <c r="G108" s="23">
        <v>6785</v>
      </c>
    </row>
    <row r="109" spans="1:7" x14ac:dyDescent="0.3">
      <c r="A109" s="28" t="s">
        <v>23</v>
      </c>
      <c r="B109" s="23">
        <v>1104</v>
      </c>
      <c r="C109" s="23">
        <v>2280</v>
      </c>
      <c r="D109" s="23">
        <v>1445</v>
      </c>
      <c r="E109" s="23">
        <v>1722</v>
      </c>
      <c r="F109" s="23">
        <v>1196</v>
      </c>
      <c r="G109" s="23">
        <v>7747</v>
      </c>
    </row>
    <row r="110" spans="1:7" x14ac:dyDescent="0.3">
      <c r="A110" s="28" t="s">
        <v>7</v>
      </c>
      <c r="B110" s="23">
        <v>372</v>
      </c>
      <c r="C110" s="23">
        <v>1818</v>
      </c>
      <c r="D110" s="23">
        <v>1346</v>
      </c>
      <c r="E110" s="23">
        <v>1156</v>
      </c>
      <c r="F110" s="23">
        <v>1484</v>
      </c>
      <c r="G110" s="23">
        <v>6176</v>
      </c>
    </row>
    <row r="111" spans="1:7" x14ac:dyDescent="0.3">
      <c r="A111" s="28" t="s">
        <v>22</v>
      </c>
      <c r="B111" s="23">
        <v>1415</v>
      </c>
      <c r="C111" s="23">
        <v>1271</v>
      </c>
      <c r="D111" s="23">
        <v>1214</v>
      </c>
      <c r="E111" s="23">
        <v>1135</v>
      </c>
      <c r="F111" s="23">
        <v>1566</v>
      </c>
      <c r="G111" s="23">
        <v>6601</v>
      </c>
    </row>
    <row r="112" spans="1:7" x14ac:dyDescent="0.3">
      <c r="A112" s="28" t="s">
        <v>21</v>
      </c>
      <c r="B112" s="23">
        <v>1362</v>
      </c>
      <c r="C112" s="23">
        <v>1363</v>
      </c>
      <c r="D112" s="23">
        <v>1152</v>
      </c>
      <c r="E112" s="23">
        <v>777</v>
      </c>
      <c r="F112" s="23">
        <v>750</v>
      </c>
      <c r="G112" s="23">
        <v>5404</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D9" sqref="D9"/>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ht="13.8" customHeight="1"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Normal="100" workbookViewId="0">
      <selection activeCell="F20" sqref="F20"/>
    </sheetView>
  </sheetViews>
  <sheetFormatPr defaultRowHeight="14.4" x14ac:dyDescent="0.3"/>
  <cols>
    <col min="5" max="5" width="11" customWidth="1"/>
    <col min="6" max="6" width="10"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Centre Report</vt:lpstr>
      <vt:lpstr>Pivots</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Jatin Kundra</cp:lastModifiedBy>
  <dcterms:created xsi:type="dcterms:W3CDTF">2021-03-14T20:21:32Z</dcterms:created>
  <dcterms:modified xsi:type="dcterms:W3CDTF">2025-10-12T20:26:54Z</dcterms:modified>
</cp:coreProperties>
</file>