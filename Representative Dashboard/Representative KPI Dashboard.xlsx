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hidePivotFieldList="1"/>
  <mc:AlternateContent xmlns:mc="http://schemas.openxmlformats.org/markup-compatibility/2006">
    <mc:Choice Requires="x15">
      <x15ac:absPath xmlns:x15ac="http://schemas.microsoft.com/office/spreadsheetml/2010/11/ac" url="https://d.docs.live.net/eb117f88eaa945b1/Desktop/Excel Projects/Excel-Project---Data-Analytics/Representative Dashboard/"/>
    </mc:Choice>
  </mc:AlternateContent>
  <xr:revisionPtr revIDLastSave="1" documentId="13_ncr:10000001_{20686796-B744-4583-A9F0-3E615400B12E}" xr6:coauthVersionLast="47" xr6:coauthVersionMax="47" xr10:uidLastSave="{B920096E-B6E6-4BC9-8254-C29A179D7FA3}"/>
  <bookViews>
    <workbookView xWindow="-108" yWindow="-108" windowWidth="23256" windowHeight="12456" xr2:uid="{26D4546B-D2A1-4444-8EAF-A6228F96F0C1}"/>
  </bookViews>
  <sheets>
    <sheet name="Customer Centre Report" sheetId="5" r:id="rId1"/>
    <sheet name="Pivots" sheetId="6" r:id="rId2"/>
    <sheet name="Data" sheetId="2" r:id="rId3"/>
    <sheet name="Assets" sheetId="4" r:id="rId4"/>
  </sheets>
  <definedNames>
    <definedName name="_xlnm._FilterDatabase" localSheetId="2" hidden="1">Data!$B$3:$H$1003</definedName>
    <definedName name="_xlcn.WorksheetConnection_sampledataexcelportfolioproject.xlsxcalls1" hidden="1">calls[]</definedName>
    <definedName name="_xlcn.WorksheetConnection_sampledataexcelportfolioproject.xlsxcustomers1" hidden="1">customers[]</definedName>
    <definedName name="Slicer_Representative">#N/A</definedName>
  </definedNames>
  <calcPr calcId="191029"/>
  <pivotCaches>
    <pivotCache cacheId="42" r:id="rId5"/>
    <pivotCache cacheId="43" r:id="rId6"/>
    <pivotCache cacheId="44" r:id="rId7"/>
    <pivotCache cacheId="45" r:id="rId8"/>
    <pivotCache cacheId="54" r:id="rId9"/>
    <pivotCache cacheId="57" r:id="rId10"/>
    <pivotCache cacheId="60" r:id="rId11"/>
    <pivotCache cacheId="63" r:id="rId12"/>
    <pivotCache cacheId="66" r:id="rId13"/>
  </pivotCaches>
  <extLst>
    <ext xmlns:x14="http://schemas.microsoft.com/office/spreadsheetml/2009/9/main" uri="{876F7934-8845-4945-9796-88D515C7AA90}">
      <x14:pivotCaches>
        <pivotCache cacheId="51" r:id="rId14"/>
      </x14:pivotCaches>
    </ex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sample-data-excel-portfolio-project.xlsx!customers"/>
          <x15:modelTable id="calls" name="calls" connection="WorksheetConnection_sample-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65" i="6" l="1"/>
  <c r="S31" i="5" s="1"/>
  <c r="L54" i="6"/>
  <c r="L58" i="6" s="1"/>
  <c r="L63" i="6" s="1"/>
  <c r="S38" i="5" s="1"/>
  <c r="L53" i="6"/>
  <c r="L57" i="6" s="1"/>
  <c r="L62" i="6" s="1"/>
  <c r="S37" i="5" s="1"/>
  <c r="L52" i="6"/>
  <c r="L61" i="6" s="1"/>
  <c r="S36" i="5" s="1"/>
  <c r="V20" i="5" a="1"/>
  <c r="V20" i="5" s="1"/>
  <c r="U21" i="5" a="1"/>
  <c r="U21" i="5" s="1"/>
  <c r="I34" i="6"/>
  <c r="F37" i="6" a="1"/>
  <c r="F37" i="6" s="1"/>
  <c r="L1003" i="2"/>
  <c r="K1003" i="2"/>
  <c r="K1003" i="2" a="1"/>
  <c r="J1003" i="2"/>
  <c r="I1003" i="2"/>
  <c r="L1002" i="2"/>
  <c r="K1002" i="2"/>
  <c r="K1002" i="2" a="1"/>
  <c r="J1002" i="2"/>
  <c r="I1002" i="2"/>
  <c r="L1001" i="2"/>
  <c r="K1001" i="2"/>
  <c r="K1001" i="2" a="1"/>
  <c r="J1001" i="2"/>
  <c r="I1001" i="2"/>
  <c r="L1000" i="2"/>
  <c r="K1000" i="2"/>
  <c r="K1000" i="2" a="1"/>
  <c r="J1000" i="2"/>
  <c r="I1000" i="2"/>
  <c r="L999" i="2"/>
  <c r="K999" i="2"/>
  <c r="K999" i="2" a="1"/>
  <c r="J999" i="2"/>
  <c r="I999" i="2"/>
  <c r="L998" i="2"/>
  <c r="K998" i="2"/>
  <c r="K998" i="2" a="1"/>
  <c r="J998" i="2"/>
  <c r="I998" i="2"/>
  <c r="L997" i="2"/>
  <c r="K997" i="2"/>
  <c r="K997" i="2" a="1"/>
  <c r="J997" i="2"/>
  <c r="I997" i="2"/>
  <c r="L996" i="2"/>
  <c r="K996" i="2"/>
  <c r="K996" i="2" a="1"/>
  <c r="J996" i="2"/>
  <c r="I996" i="2"/>
  <c r="L995" i="2"/>
  <c r="K995" i="2"/>
  <c r="K995" i="2" a="1"/>
  <c r="J995" i="2"/>
  <c r="I995" i="2"/>
  <c r="L994" i="2"/>
  <c r="K994" i="2"/>
  <c r="K994" i="2" a="1"/>
  <c r="J994" i="2"/>
  <c r="I994" i="2"/>
  <c r="L993" i="2"/>
  <c r="K993" i="2"/>
  <c r="K993" i="2" a="1"/>
  <c r="J993" i="2"/>
  <c r="I993" i="2"/>
  <c r="L992" i="2"/>
  <c r="K992" i="2"/>
  <c r="K992" i="2" a="1"/>
  <c r="J992" i="2"/>
  <c r="I992" i="2"/>
  <c r="L991" i="2"/>
  <c r="K991" i="2"/>
  <c r="K991" i="2" a="1"/>
  <c r="J991" i="2"/>
  <c r="I991" i="2"/>
  <c r="L990" i="2"/>
  <c r="K990" i="2"/>
  <c r="K990" i="2" a="1"/>
  <c r="J990" i="2"/>
  <c r="I990" i="2"/>
  <c r="L989" i="2"/>
  <c r="K989" i="2"/>
  <c r="K989" i="2" a="1"/>
  <c r="J989" i="2"/>
  <c r="I989" i="2"/>
  <c r="L988" i="2"/>
  <c r="K988" i="2"/>
  <c r="K988" i="2" a="1"/>
  <c r="J988" i="2"/>
  <c r="I988" i="2"/>
  <c r="L987" i="2"/>
  <c r="K987" i="2"/>
  <c r="K987" i="2" a="1"/>
  <c r="J987" i="2"/>
  <c r="I987" i="2"/>
  <c r="L986" i="2"/>
  <c r="K986" i="2"/>
  <c r="K986" i="2" a="1"/>
  <c r="J986" i="2"/>
  <c r="I986" i="2"/>
  <c r="L985" i="2"/>
  <c r="K985" i="2"/>
  <c r="K985" i="2" a="1"/>
  <c r="J985" i="2"/>
  <c r="I985" i="2"/>
  <c r="L984" i="2"/>
  <c r="K984" i="2"/>
  <c r="K984" i="2" a="1"/>
  <c r="J984" i="2"/>
  <c r="I984" i="2"/>
  <c r="L983" i="2"/>
  <c r="K983" i="2"/>
  <c r="K983" i="2" a="1"/>
  <c r="J983" i="2"/>
  <c r="I983" i="2"/>
  <c r="L982" i="2"/>
  <c r="K982" i="2"/>
  <c r="K982" i="2" a="1"/>
  <c r="J982" i="2"/>
  <c r="I982" i="2"/>
  <c r="L981" i="2"/>
  <c r="K981" i="2"/>
  <c r="K981" i="2" a="1"/>
  <c r="J981" i="2"/>
  <c r="I981" i="2"/>
  <c r="L980" i="2"/>
  <c r="K980" i="2"/>
  <c r="K980" i="2" a="1"/>
  <c r="J980" i="2"/>
  <c r="I980" i="2"/>
  <c r="L979" i="2"/>
  <c r="K979" i="2"/>
  <c r="K979" i="2" a="1"/>
  <c r="J979" i="2"/>
  <c r="I979" i="2"/>
  <c r="L978" i="2"/>
  <c r="K978" i="2"/>
  <c r="K978" i="2" a="1"/>
  <c r="J978" i="2"/>
  <c r="I978" i="2"/>
  <c r="L977" i="2"/>
  <c r="K977" i="2"/>
  <c r="K977" i="2" a="1"/>
  <c r="J977" i="2"/>
  <c r="I977" i="2"/>
  <c r="L976" i="2"/>
  <c r="K976" i="2"/>
  <c r="K976" i="2" a="1"/>
  <c r="J976" i="2"/>
  <c r="I976" i="2"/>
  <c r="L975" i="2"/>
  <c r="K975" i="2"/>
  <c r="K975" i="2" a="1"/>
  <c r="J975" i="2"/>
  <c r="I975" i="2"/>
  <c r="L974" i="2"/>
  <c r="K974" i="2"/>
  <c r="K974" i="2" a="1"/>
  <c r="J974" i="2"/>
  <c r="I974" i="2"/>
  <c r="L973" i="2"/>
  <c r="K973" i="2"/>
  <c r="K973" i="2" a="1"/>
  <c r="J973" i="2"/>
  <c r="I973" i="2"/>
  <c r="L972" i="2"/>
  <c r="K972" i="2"/>
  <c r="K972" i="2" a="1"/>
  <c r="J972" i="2"/>
  <c r="I972" i="2"/>
  <c r="L971" i="2"/>
  <c r="K971" i="2"/>
  <c r="K971" i="2" a="1"/>
  <c r="J971" i="2"/>
  <c r="I971" i="2"/>
  <c r="L970" i="2"/>
  <c r="K970" i="2"/>
  <c r="K970" i="2" a="1"/>
  <c r="J970" i="2"/>
  <c r="I970" i="2"/>
  <c r="L969" i="2"/>
  <c r="K969" i="2"/>
  <c r="K969" i="2" a="1"/>
  <c r="J969" i="2"/>
  <c r="I969" i="2"/>
  <c r="L968" i="2"/>
  <c r="K968" i="2"/>
  <c r="K968" i="2" a="1"/>
  <c r="J968" i="2"/>
  <c r="I968" i="2"/>
  <c r="L967" i="2"/>
  <c r="K967" i="2"/>
  <c r="K967" i="2" a="1"/>
  <c r="J967" i="2"/>
  <c r="I967" i="2"/>
  <c r="L966" i="2"/>
  <c r="K966" i="2"/>
  <c r="K966" i="2" a="1"/>
  <c r="J966" i="2"/>
  <c r="I966" i="2"/>
  <c r="L965" i="2"/>
  <c r="K965" i="2"/>
  <c r="K965" i="2" a="1"/>
  <c r="J965" i="2"/>
  <c r="I965" i="2"/>
  <c r="L964" i="2"/>
  <c r="K964" i="2"/>
  <c r="K964" i="2" a="1"/>
  <c r="J964" i="2"/>
  <c r="I964" i="2"/>
  <c r="L963" i="2"/>
  <c r="K963" i="2"/>
  <c r="K963" i="2" a="1"/>
  <c r="J963" i="2"/>
  <c r="I963" i="2"/>
  <c r="L962" i="2"/>
  <c r="K962" i="2"/>
  <c r="K962" i="2" a="1"/>
  <c r="J962" i="2"/>
  <c r="I962" i="2"/>
  <c r="L961" i="2"/>
  <c r="K961" i="2"/>
  <c r="K961" i="2" a="1"/>
  <c r="J961" i="2"/>
  <c r="I961" i="2"/>
  <c r="L960" i="2"/>
  <c r="K960" i="2"/>
  <c r="K960" i="2" a="1"/>
  <c r="J960" i="2"/>
  <c r="I960" i="2"/>
  <c r="L959" i="2"/>
  <c r="K959" i="2"/>
  <c r="K959" i="2" a="1"/>
  <c r="J959" i="2"/>
  <c r="I959" i="2"/>
  <c r="L958" i="2"/>
  <c r="K958" i="2"/>
  <c r="K958" i="2" a="1"/>
  <c r="J958" i="2"/>
  <c r="I958" i="2"/>
  <c r="L957" i="2"/>
  <c r="K957" i="2"/>
  <c r="K957" i="2" a="1"/>
  <c r="J957" i="2"/>
  <c r="I957" i="2"/>
  <c r="L956" i="2"/>
  <c r="K956" i="2"/>
  <c r="K956" i="2" a="1"/>
  <c r="J956" i="2"/>
  <c r="I956" i="2"/>
  <c r="L955" i="2"/>
  <c r="K955" i="2"/>
  <c r="K955" i="2" a="1"/>
  <c r="J955" i="2"/>
  <c r="I955" i="2"/>
  <c r="L954" i="2"/>
  <c r="K954" i="2"/>
  <c r="K954" i="2" a="1"/>
  <c r="J954" i="2"/>
  <c r="I954" i="2"/>
  <c r="L953" i="2"/>
  <c r="K953" i="2"/>
  <c r="K953" i="2" a="1"/>
  <c r="J953" i="2"/>
  <c r="I953" i="2"/>
  <c r="L952" i="2"/>
  <c r="K952" i="2"/>
  <c r="K952" i="2" a="1"/>
  <c r="J952" i="2"/>
  <c r="I952" i="2"/>
  <c r="L951" i="2"/>
  <c r="K951" i="2"/>
  <c r="K951" i="2" a="1"/>
  <c r="J951" i="2"/>
  <c r="I951" i="2"/>
  <c r="L950" i="2"/>
  <c r="K950" i="2"/>
  <c r="K950" i="2" a="1"/>
  <c r="J950" i="2"/>
  <c r="I950" i="2"/>
  <c r="L949" i="2"/>
  <c r="K949" i="2"/>
  <c r="K949" i="2" a="1"/>
  <c r="J949" i="2"/>
  <c r="I949" i="2"/>
  <c r="L948" i="2"/>
  <c r="K948" i="2"/>
  <c r="K948" i="2" a="1"/>
  <c r="J948" i="2"/>
  <c r="I948" i="2"/>
  <c r="L947" i="2"/>
  <c r="K947" i="2"/>
  <c r="K947" i="2" a="1"/>
  <c r="J947" i="2"/>
  <c r="I947" i="2"/>
  <c r="L946" i="2"/>
  <c r="K946" i="2"/>
  <c r="K946" i="2" a="1"/>
  <c r="J946" i="2"/>
  <c r="I946" i="2"/>
  <c r="L945" i="2"/>
  <c r="K945" i="2"/>
  <c r="K945" i="2" a="1"/>
  <c r="J945" i="2"/>
  <c r="I945" i="2"/>
  <c r="L944" i="2"/>
  <c r="K944" i="2"/>
  <c r="K944" i="2" a="1"/>
  <c r="J944" i="2"/>
  <c r="I944" i="2"/>
  <c r="L943" i="2"/>
  <c r="K943" i="2"/>
  <c r="K943" i="2" a="1"/>
  <c r="J943" i="2"/>
  <c r="I943" i="2"/>
  <c r="L942" i="2"/>
  <c r="K942" i="2"/>
  <c r="K942" i="2" a="1"/>
  <c r="J942" i="2"/>
  <c r="I942" i="2"/>
  <c r="L941" i="2"/>
  <c r="K941" i="2"/>
  <c r="K941" i="2" a="1"/>
  <c r="J941" i="2"/>
  <c r="I941" i="2"/>
  <c r="L940" i="2"/>
  <c r="K940" i="2"/>
  <c r="K940" i="2" a="1"/>
  <c r="J940" i="2"/>
  <c r="I940" i="2"/>
  <c r="L939" i="2"/>
  <c r="K939" i="2"/>
  <c r="K939" i="2" a="1"/>
  <c r="J939" i="2"/>
  <c r="I939" i="2"/>
  <c r="L938" i="2"/>
  <c r="K938" i="2"/>
  <c r="K938" i="2" a="1"/>
  <c r="J938" i="2"/>
  <c r="I938" i="2"/>
  <c r="L937" i="2"/>
  <c r="K937" i="2"/>
  <c r="K937" i="2" a="1"/>
  <c r="J937" i="2"/>
  <c r="I937" i="2"/>
  <c r="L936" i="2"/>
  <c r="K936" i="2"/>
  <c r="K936" i="2" a="1"/>
  <c r="J936" i="2"/>
  <c r="I936" i="2"/>
  <c r="L935" i="2"/>
  <c r="K935" i="2"/>
  <c r="K935" i="2" a="1"/>
  <c r="J935" i="2"/>
  <c r="I935" i="2"/>
  <c r="L934" i="2"/>
  <c r="K934" i="2"/>
  <c r="K934" i="2" a="1"/>
  <c r="J934" i="2"/>
  <c r="I934" i="2"/>
  <c r="L933" i="2"/>
  <c r="K933" i="2"/>
  <c r="K933" i="2" a="1"/>
  <c r="J933" i="2"/>
  <c r="I933" i="2"/>
  <c r="L932" i="2"/>
  <c r="K932" i="2"/>
  <c r="K932" i="2" a="1"/>
  <c r="J932" i="2"/>
  <c r="I932" i="2"/>
  <c r="L931" i="2"/>
  <c r="K931" i="2"/>
  <c r="K931" i="2" a="1"/>
  <c r="J931" i="2"/>
  <c r="I931" i="2"/>
  <c r="L930" i="2"/>
  <c r="K930" i="2"/>
  <c r="K930" i="2" a="1"/>
  <c r="J930" i="2"/>
  <c r="I930" i="2"/>
  <c r="L929" i="2"/>
  <c r="K929" i="2"/>
  <c r="K929" i="2" a="1"/>
  <c r="J929" i="2"/>
  <c r="I929" i="2"/>
  <c r="L928" i="2"/>
  <c r="K928" i="2"/>
  <c r="K928" i="2" a="1"/>
  <c r="J928" i="2"/>
  <c r="I928" i="2"/>
  <c r="L927" i="2"/>
  <c r="K927" i="2"/>
  <c r="K927" i="2" a="1"/>
  <c r="J927" i="2"/>
  <c r="I927" i="2"/>
  <c r="L926" i="2"/>
  <c r="K926" i="2"/>
  <c r="K926" i="2" a="1"/>
  <c r="J926" i="2"/>
  <c r="I926" i="2"/>
  <c r="L925" i="2"/>
  <c r="K925" i="2"/>
  <c r="K925" i="2" a="1"/>
  <c r="J925" i="2"/>
  <c r="I925" i="2"/>
  <c r="L924" i="2"/>
  <c r="K924" i="2"/>
  <c r="K924" i="2" a="1"/>
  <c r="J924" i="2"/>
  <c r="I924" i="2"/>
  <c r="L923" i="2"/>
  <c r="K923" i="2"/>
  <c r="K923" i="2" a="1"/>
  <c r="J923" i="2"/>
  <c r="I923" i="2"/>
  <c r="L922" i="2"/>
  <c r="K922" i="2"/>
  <c r="K922" i="2" a="1"/>
  <c r="J922" i="2"/>
  <c r="I922" i="2"/>
  <c r="L921" i="2"/>
  <c r="K921" i="2"/>
  <c r="K921" i="2" a="1"/>
  <c r="J921" i="2"/>
  <c r="I921" i="2"/>
  <c r="L920" i="2"/>
  <c r="K920" i="2"/>
  <c r="K920" i="2" a="1"/>
  <c r="J920" i="2"/>
  <c r="I920" i="2"/>
  <c r="L919" i="2"/>
  <c r="K919" i="2"/>
  <c r="K919" i="2" a="1"/>
  <c r="J919" i="2"/>
  <c r="I919" i="2"/>
  <c r="L918" i="2"/>
  <c r="K918" i="2"/>
  <c r="K918" i="2" a="1"/>
  <c r="J918" i="2"/>
  <c r="I918" i="2"/>
  <c r="L917" i="2"/>
  <c r="K917" i="2"/>
  <c r="K917" i="2" a="1"/>
  <c r="J917" i="2"/>
  <c r="I917" i="2"/>
  <c r="L916" i="2"/>
  <c r="K916" i="2"/>
  <c r="K916" i="2" a="1"/>
  <c r="J916" i="2"/>
  <c r="I916" i="2"/>
  <c r="L915" i="2"/>
  <c r="K915" i="2"/>
  <c r="K915" i="2" a="1"/>
  <c r="J915" i="2"/>
  <c r="I915" i="2"/>
  <c r="L914" i="2"/>
  <c r="K914" i="2"/>
  <c r="K914" i="2" a="1"/>
  <c r="J914" i="2"/>
  <c r="I914" i="2"/>
  <c r="L913" i="2"/>
  <c r="K913" i="2"/>
  <c r="K913" i="2" a="1"/>
  <c r="J913" i="2"/>
  <c r="I913" i="2"/>
  <c r="L912" i="2"/>
  <c r="K912" i="2"/>
  <c r="K912" i="2" a="1"/>
  <c r="J912" i="2"/>
  <c r="I912" i="2"/>
  <c r="L911" i="2"/>
  <c r="K911" i="2"/>
  <c r="K911" i="2" a="1"/>
  <c r="J911" i="2"/>
  <c r="I911" i="2"/>
  <c r="L910" i="2"/>
  <c r="K910" i="2"/>
  <c r="K910" i="2" a="1"/>
  <c r="J910" i="2"/>
  <c r="I910" i="2"/>
  <c r="L909" i="2"/>
  <c r="K909" i="2"/>
  <c r="K909" i="2" a="1"/>
  <c r="J909" i="2"/>
  <c r="I909" i="2"/>
  <c r="L908" i="2"/>
  <c r="K908" i="2"/>
  <c r="K908" i="2" a="1"/>
  <c r="J908" i="2"/>
  <c r="I908" i="2"/>
  <c r="L907" i="2"/>
  <c r="K907" i="2"/>
  <c r="K907" i="2" a="1"/>
  <c r="J907" i="2"/>
  <c r="I907" i="2"/>
  <c r="L906" i="2"/>
  <c r="K906" i="2"/>
  <c r="K906" i="2" a="1"/>
  <c r="J906" i="2"/>
  <c r="I906" i="2"/>
  <c r="L905" i="2"/>
  <c r="K905" i="2"/>
  <c r="K905" i="2" a="1"/>
  <c r="J905" i="2"/>
  <c r="I905" i="2"/>
  <c r="L904" i="2"/>
  <c r="K904" i="2"/>
  <c r="K904" i="2" a="1"/>
  <c r="J904" i="2"/>
  <c r="I904" i="2"/>
  <c r="L903" i="2"/>
  <c r="K903" i="2"/>
  <c r="K903" i="2" a="1"/>
  <c r="J903" i="2"/>
  <c r="I903" i="2"/>
  <c r="L902" i="2"/>
  <c r="K902" i="2"/>
  <c r="K902" i="2" a="1"/>
  <c r="J902" i="2"/>
  <c r="I902" i="2"/>
  <c r="L901" i="2"/>
  <c r="K901" i="2"/>
  <c r="K901" i="2" a="1"/>
  <c r="J901" i="2"/>
  <c r="I901" i="2"/>
  <c r="L900" i="2"/>
  <c r="K900" i="2"/>
  <c r="K900" i="2" a="1"/>
  <c r="J900" i="2"/>
  <c r="I900" i="2"/>
  <c r="L899" i="2"/>
  <c r="K899" i="2"/>
  <c r="K899" i="2" a="1"/>
  <c r="J899" i="2"/>
  <c r="I899" i="2"/>
  <c r="L898" i="2"/>
  <c r="K898" i="2"/>
  <c r="K898" i="2" a="1"/>
  <c r="J898" i="2"/>
  <c r="I898" i="2"/>
  <c r="L897" i="2"/>
  <c r="K897" i="2"/>
  <c r="K897" i="2" a="1"/>
  <c r="J897" i="2"/>
  <c r="I897" i="2"/>
  <c r="L896" i="2"/>
  <c r="K896" i="2"/>
  <c r="K896" i="2" a="1"/>
  <c r="J896" i="2"/>
  <c r="I896" i="2"/>
  <c r="L895" i="2"/>
  <c r="K895" i="2"/>
  <c r="K895" i="2" a="1"/>
  <c r="J895" i="2"/>
  <c r="I895" i="2"/>
  <c r="L894" i="2"/>
  <c r="K894" i="2"/>
  <c r="K894" i="2" a="1"/>
  <c r="J894" i="2"/>
  <c r="I894" i="2"/>
  <c r="L893" i="2"/>
  <c r="K893" i="2"/>
  <c r="K893" i="2" a="1"/>
  <c r="J893" i="2"/>
  <c r="I893" i="2"/>
  <c r="L892" i="2"/>
  <c r="K892" i="2"/>
  <c r="K892" i="2" a="1"/>
  <c r="J892" i="2"/>
  <c r="I892" i="2"/>
  <c r="L891" i="2"/>
  <c r="K891" i="2"/>
  <c r="K891" i="2" a="1"/>
  <c r="J891" i="2"/>
  <c r="I891" i="2"/>
  <c r="L890" i="2"/>
  <c r="K890" i="2"/>
  <c r="K890" i="2" a="1"/>
  <c r="J890" i="2"/>
  <c r="I890" i="2"/>
  <c r="L889" i="2"/>
  <c r="K889" i="2"/>
  <c r="K889" i="2" a="1"/>
  <c r="J889" i="2"/>
  <c r="I889" i="2"/>
  <c r="L888" i="2"/>
  <c r="K888" i="2"/>
  <c r="K888" i="2" a="1"/>
  <c r="J888" i="2"/>
  <c r="I888" i="2"/>
  <c r="L887" i="2"/>
  <c r="K887" i="2"/>
  <c r="K887" i="2" a="1"/>
  <c r="J887" i="2"/>
  <c r="I887" i="2"/>
  <c r="L886" i="2"/>
  <c r="K886" i="2"/>
  <c r="K886" i="2" a="1"/>
  <c r="J886" i="2"/>
  <c r="I886" i="2"/>
  <c r="L885" i="2"/>
  <c r="K885" i="2"/>
  <c r="K885" i="2" a="1"/>
  <c r="J885" i="2"/>
  <c r="I885" i="2"/>
  <c r="L884" i="2"/>
  <c r="K884" i="2"/>
  <c r="K884" i="2" a="1"/>
  <c r="J884" i="2"/>
  <c r="I884" i="2"/>
  <c r="L883" i="2"/>
  <c r="K883" i="2"/>
  <c r="K883" i="2" a="1"/>
  <c r="J883" i="2"/>
  <c r="I883" i="2"/>
  <c r="L882" i="2"/>
  <c r="K882" i="2"/>
  <c r="K882" i="2" a="1"/>
  <c r="J882" i="2"/>
  <c r="I882" i="2"/>
  <c r="L881" i="2"/>
  <c r="K881" i="2"/>
  <c r="K881" i="2" a="1"/>
  <c r="J881" i="2"/>
  <c r="I881" i="2"/>
  <c r="L880" i="2"/>
  <c r="K880" i="2"/>
  <c r="K880" i="2" a="1"/>
  <c r="J880" i="2"/>
  <c r="I880" i="2"/>
  <c r="L879" i="2"/>
  <c r="K879" i="2"/>
  <c r="K879" i="2" a="1"/>
  <c r="J879" i="2"/>
  <c r="I879" i="2"/>
  <c r="L878" i="2"/>
  <c r="K878" i="2"/>
  <c r="K878" i="2" a="1"/>
  <c r="J878" i="2"/>
  <c r="I878" i="2"/>
  <c r="L877" i="2"/>
  <c r="K877" i="2"/>
  <c r="K877" i="2" a="1"/>
  <c r="J877" i="2"/>
  <c r="I877" i="2"/>
  <c r="L876" i="2"/>
  <c r="K876" i="2"/>
  <c r="K876" i="2" a="1"/>
  <c r="J876" i="2"/>
  <c r="I876" i="2"/>
  <c r="L875" i="2"/>
  <c r="K875" i="2"/>
  <c r="K875" i="2" a="1"/>
  <c r="J875" i="2"/>
  <c r="I875" i="2"/>
  <c r="L874" i="2"/>
  <c r="K874" i="2"/>
  <c r="K874" i="2" a="1"/>
  <c r="J874" i="2"/>
  <c r="I874" i="2"/>
  <c r="L873" i="2"/>
  <c r="K873" i="2"/>
  <c r="K873" i="2" a="1"/>
  <c r="J873" i="2"/>
  <c r="I873" i="2"/>
  <c r="L872" i="2"/>
  <c r="K872" i="2"/>
  <c r="K872" i="2" a="1"/>
  <c r="J872" i="2"/>
  <c r="I872" i="2"/>
  <c r="L871" i="2"/>
  <c r="K871" i="2"/>
  <c r="K871" i="2" a="1"/>
  <c r="J871" i="2"/>
  <c r="I871" i="2"/>
  <c r="L870" i="2"/>
  <c r="K870" i="2"/>
  <c r="K870" i="2" a="1"/>
  <c r="J870" i="2"/>
  <c r="I870" i="2"/>
  <c r="L869" i="2"/>
  <c r="K869" i="2"/>
  <c r="K869" i="2" a="1"/>
  <c r="J869" i="2"/>
  <c r="I869" i="2"/>
  <c r="L868" i="2"/>
  <c r="K868" i="2"/>
  <c r="K868" i="2" a="1"/>
  <c r="J868" i="2"/>
  <c r="I868" i="2"/>
  <c r="L867" i="2"/>
  <c r="K867" i="2"/>
  <c r="K867" i="2" a="1"/>
  <c r="J867" i="2"/>
  <c r="I867" i="2"/>
  <c r="L866" i="2"/>
  <c r="K866" i="2"/>
  <c r="K866" i="2" a="1"/>
  <c r="J866" i="2"/>
  <c r="I866" i="2"/>
  <c r="L865" i="2"/>
  <c r="K865" i="2"/>
  <c r="K865" i="2" a="1"/>
  <c r="J865" i="2"/>
  <c r="I865" i="2"/>
  <c r="L864" i="2"/>
  <c r="K864" i="2"/>
  <c r="K864" i="2" a="1"/>
  <c r="J864" i="2"/>
  <c r="I864" i="2"/>
  <c r="L863" i="2"/>
  <c r="K863" i="2"/>
  <c r="K863" i="2" a="1"/>
  <c r="J863" i="2"/>
  <c r="I863" i="2"/>
  <c r="L862" i="2"/>
  <c r="K862" i="2"/>
  <c r="K862" i="2" a="1"/>
  <c r="J862" i="2"/>
  <c r="I862" i="2"/>
  <c r="L861" i="2"/>
  <c r="K861" i="2"/>
  <c r="K861" i="2" a="1"/>
  <c r="J861" i="2"/>
  <c r="I861" i="2"/>
  <c r="L860" i="2"/>
  <c r="K860" i="2"/>
  <c r="K860" i="2" a="1"/>
  <c r="J860" i="2"/>
  <c r="I860" i="2"/>
  <c r="L859" i="2"/>
  <c r="K859" i="2"/>
  <c r="K859" i="2" a="1"/>
  <c r="J859" i="2"/>
  <c r="I859" i="2"/>
  <c r="L858" i="2"/>
  <c r="K858" i="2"/>
  <c r="K858" i="2" a="1"/>
  <c r="J858" i="2"/>
  <c r="I858" i="2"/>
  <c r="L857" i="2"/>
  <c r="K857" i="2"/>
  <c r="K857" i="2" a="1"/>
  <c r="J857" i="2"/>
  <c r="I857" i="2"/>
  <c r="L856" i="2"/>
  <c r="K856" i="2"/>
  <c r="K856" i="2" a="1"/>
  <c r="J856" i="2"/>
  <c r="I856" i="2"/>
  <c r="L855" i="2"/>
  <c r="K855" i="2"/>
  <c r="K855" i="2" a="1"/>
  <c r="J855" i="2"/>
  <c r="I855" i="2"/>
  <c r="L854" i="2"/>
  <c r="K854" i="2"/>
  <c r="K854" i="2" a="1"/>
  <c r="J854" i="2"/>
  <c r="I854" i="2"/>
  <c r="L853" i="2"/>
  <c r="K853" i="2"/>
  <c r="K853" i="2" a="1"/>
  <c r="J853" i="2"/>
  <c r="I853" i="2"/>
  <c r="L852" i="2"/>
  <c r="K852" i="2"/>
  <c r="K852" i="2" a="1"/>
  <c r="J852" i="2"/>
  <c r="I852" i="2"/>
  <c r="L851" i="2"/>
  <c r="K851" i="2"/>
  <c r="K851" i="2" a="1"/>
  <c r="J851" i="2"/>
  <c r="I851" i="2"/>
  <c r="L850" i="2"/>
  <c r="K850" i="2"/>
  <c r="K850" i="2" a="1"/>
  <c r="J850" i="2"/>
  <c r="I850" i="2"/>
  <c r="L849" i="2"/>
  <c r="K849" i="2"/>
  <c r="K849" i="2" a="1"/>
  <c r="J849" i="2"/>
  <c r="I849" i="2"/>
  <c r="L848" i="2"/>
  <c r="K848" i="2"/>
  <c r="K848" i="2" a="1"/>
  <c r="J848" i="2"/>
  <c r="I848" i="2"/>
  <c r="L847" i="2"/>
  <c r="K847" i="2"/>
  <c r="K847" i="2" a="1"/>
  <c r="J847" i="2"/>
  <c r="I847" i="2"/>
  <c r="L846" i="2"/>
  <c r="K846" i="2"/>
  <c r="K846" i="2" a="1"/>
  <c r="J846" i="2"/>
  <c r="I846" i="2"/>
  <c r="L845" i="2"/>
  <c r="K845" i="2"/>
  <c r="K845" i="2" a="1"/>
  <c r="J845" i="2"/>
  <c r="I845" i="2"/>
  <c r="L844" i="2"/>
  <c r="K844" i="2"/>
  <c r="K844" i="2" a="1"/>
  <c r="J844" i="2"/>
  <c r="I844" i="2"/>
  <c r="L843" i="2"/>
  <c r="K843" i="2"/>
  <c r="K843" i="2" a="1"/>
  <c r="J843" i="2"/>
  <c r="I843" i="2"/>
  <c r="L842" i="2"/>
  <c r="K842" i="2"/>
  <c r="K842" i="2" a="1"/>
  <c r="J842" i="2"/>
  <c r="I842" i="2"/>
  <c r="L841" i="2"/>
  <c r="K841" i="2"/>
  <c r="K841" i="2" a="1"/>
  <c r="J841" i="2"/>
  <c r="I841" i="2"/>
  <c r="L840" i="2"/>
  <c r="K840" i="2"/>
  <c r="K840" i="2" a="1"/>
  <c r="J840" i="2"/>
  <c r="I840" i="2"/>
  <c r="L839" i="2"/>
  <c r="K839" i="2"/>
  <c r="K839" i="2" a="1"/>
  <c r="J839" i="2"/>
  <c r="I839" i="2"/>
  <c r="L838" i="2"/>
  <c r="K838" i="2"/>
  <c r="K838" i="2" a="1"/>
  <c r="J838" i="2"/>
  <c r="I838" i="2"/>
  <c r="L837" i="2"/>
  <c r="K837" i="2"/>
  <c r="K837" i="2" a="1"/>
  <c r="J837" i="2"/>
  <c r="I837" i="2"/>
  <c r="L836" i="2"/>
  <c r="K836" i="2"/>
  <c r="K836" i="2" a="1"/>
  <c r="J836" i="2"/>
  <c r="I836" i="2"/>
  <c r="L835" i="2"/>
  <c r="K835" i="2"/>
  <c r="K835" i="2" a="1"/>
  <c r="J835" i="2"/>
  <c r="I835" i="2"/>
  <c r="L834" i="2"/>
  <c r="K834" i="2"/>
  <c r="K834" i="2" a="1"/>
  <c r="J834" i="2"/>
  <c r="I834" i="2"/>
  <c r="L833" i="2"/>
  <c r="K833" i="2"/>
  <c r="K833" i="2" a="1"/>
  <c r="J833" i="2"/>
  <c r="I833" i="2"/>
  <c r="L832" i="2"/>
  <c r="K832" i="2"/>
  <c r="K832" i="2" a="1"/>
  <c r="J832" i="2"/>
  <c r="I832" i="2"/>
  <c r="L831" i="2"/>
  <c r="K831" i="2"/>
  <c r="K831" i="2" a="1"/>
  <c r="J831" i="2"/>
  <c r="I831" i="2"/>
  <c r="L830" i="2"/>
  <c r="K830" i="2"/>
  <c r="K830" i="2" a="1"/>
  <c r="J830" i="2"/>
  <c r="I830" i="2"/>
  <c r="L829" i="2"/>
  <c r="K829" i="2"/>
  <c r="K829" i="2" a="1"/>
  <c r="J829" i="2"/>
  <c r="I829" i="2"/>
  <c r="L828" i="2"/>
  <c r="K828" i="2"/>
  <c r="K828" i="2" a="1"/>
  <c r="J828" i="2"/>
  <c r="I828" i="2"/>
  <c r="L827" i="2"/>
  <c r="K827" i="2"/>
  <c r="K827" i="2" a="1"/>
  <c r="J827" i="2"/>
  <c r="I827" i="2"/>
  <c r="L826" i="2"/>
  <c r="K826" i="2"/>
  <c r="K826" i="2" a="1"/>
  <c r="J826" i="2"/>
  <c r="I826" i="2"/>
  <c r="L825" i="2"/>
  <c r="K825" i="2"/>
  <c r="K825" i="2" a="1"/>
  <c r="J825" i="2"/>
  <c r="I825" i="2"/>
  <c r="L824" i="2"/>
  <c r="K824" i="2"/>
  <c r="K824" i="2" a="1"/>
  <c r="J824" i="2"/>
  <c r="I824" i="2"/>
  <c r="L823" i="2"/>
  <c r="K823" i="2"/>
  <c r="K823" i="2" a="1"/>
  <c r="J823" i="2"/>
  <c r="I823" i="2"/>
  <c r="L822" i="2"/>
  <c r="K822" i="2"/>
  <c r="K822" i="2" a="1"/>
  <c r="J822" i="2"/>
  <c r="I822" i="2"/>
  <c r="L821" i="2"/>
  <c r="K821" i="2"/>
  <c r="K821" i="2" a="1"/>
  <c r="J821" i="2"/>
  <c r="I821" i="2"/>
  <c r="L820" i="2"/>
  <c r="K820" i="2"/>
  <c r="K820" i="2" a="1"/>
  <c r="J820" i="2"/>
  <c r="I820" i="2"/>
  <c r="L819" i="2"/>
  <c r="K819" i="2"/>
  <c r="K819" i="2" a="1"/>
  <c r="J819" i="2"/>
  <c r="I819" i="2"/>
  <c r="L818" i="2"/>
  <c r="K818" i="2"/>
  <c r="K818" i="2" a="1"/>
  <c r="J818" i="2"/>
  <c r="I818" i="2"/>
  <c r="L817" i="2"/>
  <c r="K817" i="2"/>
  <c r="K817" i="2" a="1"/>
  <c r="J817" i="2"/>
  <c r="I817" i="2"/>
  <c r="L816" i="2"/>
  <c r="K816" i="2"/>
  <c r="K816" i="2" a="1"/>
  <c r="J816" i="2"/>
  <c r="I816" i="2"/>
  <c r="L815" i="2"/>
  <c r="K815" i="2"/>
  <c r="K815" i="2" a="1"/>
  <c r="J815" i="2"/>
  <c r="I815" i="2"/>
  <c r="L814" i="2"/>
  <c r="K814" i="2"/>
  <c r="K814" i="2" a="1"/>
  <c r="J814" i="2"/>
  <c r="I814" i="2"/>
  <c r="L813" i="2"/>
  <c r="K813" i="2"/>
  <c r="K813" i="2" a="1"/>
  <c r="J813" i="2"/>
  <c r="I813" i="2"/>
  <c r="L812" i="2"/>
  <c r="K812" i="2"/>
  <c r="K812" i="2" a="1"/>
  <c r="J812" i="2"/>
  <c r="I812" i="2"/>
  <c r="L811" i="2"/>
  <c r="K811" i="2"/>
  <c r="K811" i="2" a="1"/>
  <c r="J811" i="2"/>
  <c r="I811" i="2"/>
  <c r="L810" i="2"/>
  <c r="K810" i="2"/>
  <c r="K810" i="2" a="1"/>
  <c r="J810" i="2"/>
  <c r="I810" i="2"/>
  <c r="L809" i="2"/>
  <c r="K809" i="2"/>
  <c r="K809" i="2" a="1"/>
  <c r="J809" i="2"/>
  <c r="I809" i="2"/>
  <c r="L808" i="2"/>
  <c r="K808" i="2"/>
  <c r="K808" i="2" a="1"/>
  <c r="J808" i="2"/>
  <c r="I808" i="2"/>
  <c r="L807" i="2"/>
  <c r="K807" i="2"/>
  <c r="K807" i="2" a="1"/>
  <c r="J807" i="2"/>
  <c r="I807" i="2"/>
  <c r="L806" i="2"/>
  <c r="K806" i="2"/>
  <c r="K806" i="2" a="1"/>
  <c r="J806" i="2"/>
  <c r="I806" i="2"/>
  <c r="L805" i="2"/>
  <c r="K805" i="2"/>
  <c r="K805" i="2" a="1"/>
  <c r="J805" i="2"/>
  <c r="I805" i="2"/>
  <c r="L804" i="2"/>
  <c r="K804" i="2"/>
  <c r="K804" i="2" a="1"/>
  <c r="J804" i="2"/>
  <c r="I804" i="2"/>
  <c r="L803" i="2"/>
  <c r="K803" i="2"/>
  <c r="K803" i="2" a="1"/>
  <c r="J803" i="2"/>
  <c r="I803" i="2"/>
  <c r="L802" i="2"/>
  <c r="K802" i="2"/>
  <c r="K802" i="2" a="1"/>
  <c r="J802" i="2"/>
  <c r="I802" i="2"/>
  <c r="L801" i="2"/>
  <c r="K801" i="2"/>
  <c r="K801" i="2" a="1"/>
  <c r="J801" i="2"/>
  <c r="I801" i="2"/>
  <c r="L800" i="2"/>
  <c r="K800" i="2"/>
  <c r="K800" i="2" a="1"/>
  <c r="J800" i="2"/>
  <c r="I800" i="2"/>
  <c r="L799" i="2"/>
  <c r="K799" i="2"/>
  <c r="K799" i="2" a="1"/>
  <c r="J799" i="2"/>
  <c r="I799" i="2"/>
  <c r="L798" i="2"/>
  <c r="K798" i="2"/>
  <c r="K798" i="2" a="1"/>
  <c r="J798" i="2"/>
  <c r="I798" i="2"/>
  <c r="L797" i="2"/>
  <c r="K797" i="2"/>
  <c r="K797" i="2" a="1"/>
  <c r="J797" i="2"/>
  <c r="I797" i="2"/>
  <c r="L796" i="2"/>
  <c r="K796" i="2"/>
  <c r="K796" i="2" a="1"/>
  <c r="J796" i="2"/>
  <c r="I796" i="2"/>
  <c r="L795" i="2"/>
  <c r="K795" i="2"/>
  <c r="K795" i="2" a="1"/>
  <c r="J795" i="2"/>
  <c r="I795" i="2"/>
  <c r="L794" i="2"/>
  <c r="K794" i="2"/>
  <c r="K794" i="2" a="1"/>
  <c r="J794" i="2"/>
  <c r="I794" i="2"/>
  <c r="L793" i="2"/>
  <c r="K793" i="2"/>
  <c r="K793" i="2" a="1"/>
  <c r="J793" i="2"/>
  <c r="I793" i="2"/>
  <c r="L792" i="2"/>
  <c r="K792" i="2"/>
  <c r="K792" i="2" a="1"/>
  <c r="J792" i="2"/>
  <c r="I792" i="2"/>
  <c r="L791" i="2"/>
  <c r="K791" i="2"/>
  <c r="K791" i="2" a="1"/>
  <c r="J791" i="2"/>
  <c r="I791" i="2"/>
  <c r="L790" i="2"/>
  <c r="K790" i="2"/>
  <c r="K790" i="2" a="1"/>
  <c r="J790" i="2"/>
  <c r="I790" i="2"/>
  <c r="L789" i="2"/>
  <c r="K789" i="2"/>
  <c r="K789" i="2" a="1"/>
  <c r="J789" i="2"/>
  <c r="I789" i="2"/>
  <c r="L788" i="2"/>
  <c r="K788" i="2"/>
  <c r="K788" i="2" a="1"/>
  <c r="J788" i="2"/>
  <c r="I788" i="2"/>
  <c r="L787" i="2"/>
  <c r="K787" i="2"/>
  <c r="K787" i="2" a="1"/>
  <c r="J787" i="2"/>
  <c r="I787" i="2"/>
  <c r="L786" i="2"/>
  <c r="K786" i="2"/>
  <c r="K786" i="2" a="1"/>
  <c r="J786" i="2"/>
  <c r="I786" i="2"/>
  <c r="L785" i="2"/>
  <c r="K785" i="2"/>
  <c r="K785" i="2" a="1"/>
  <c r="J785" i="2"/>
  <c r="I785" i="2"/>
  <c r="L784" i="2"/>
  <c r="K784" i="2"/>
  <c r="K784" i="2" a="1"/>
  <c r="J784" i="2"/>
  <c r="I784" i="2"/>
  <c r="L783" i="2"/>
  <c r="K783" i="2"/>
  <c r="K783" i="2" a="1"/>
  <c r="J783" i="2"/>
  <c r="I783" i="2"/>
  <c r="L782" i="2"/>
  <c r="K782" i="2"/>
  <c r="K782" i="2" a="1"/>
  <c r="J782" i="2"/>
  <c r="I782" i="2"/>
  <c r="L781" i="2"/>
  <c r="K781" i="2"/>
  <c r="K781" i="2" a="1"/>
  <c r="J781" i="2"/>
  <c r="I781" i="2"/>
  <c r="L780" i="2"/>
  <c r="K780" i="2"/>
  <c r="K780" i="2" a="1"/>
  <c r="J780" i="2"/>
  <c r="I780" i="2"/>
  <c r="L779" i="2"/>
  <c r="K779" i="2"/>
  <c r="K779" i="2" a="1"/>
  <c r="J779" i="2"/>
  <c r="I779" i="2"/>
  <c r="L778" i="2"/>
  <c r="K778" i="2"/>
  <c r="K778" i="2" a="1"/>
  <c r="J778" i="2"/>
  <c r="I778" i="2"/>
  <c r="L777" i="2"/>
  <c r="K777" i="2"/>
  <c r="K777" i="2" a="1"/>
  <c r="J777" i="2"/>
  <c r="I777" i="2"/>
  <c r="L776" i="2"/>
  <c r="K776" i="2"/>
  <c r="K776" i="2" a="1"/>
  <c r="J776" i="2"/>
  <c r="I776" i="2"/>
  <c r="L775" i="2"/>
  <c r="K775" i="2"/>
  <c r="K775" i="2" a="1"/>
  <c r="J775" i="2"/>
  <c r="I775" i="2"/>
  <c r="L774" i="2"/>
  <c r="K774" i="2"/>
  <c r="K774" i="2" a="1"/>
  <c r="J774" i="2"/>
  <c r="I774" i="2"/>
  <c r="L773" i="2"/>
  <c r="K773" i="2"/>
  <c r="K773" i="2" a="1"/>
  <c r="J773" i="2"/>
  <c r="I773" i="2"/>
  <c r="L772" i="2"/>
  <c r="K772" i="2"/>
  <c r="K772" i="2" a="1"/>
  <c r="J772" i="2"/>
  <c r="I772" i="2"/>
  <c r="L771" i="2"/>
  <c r="K771" i="2"/>
  <c r="K771" i="2" a="1"/>
  <c r="J771" i="2"/>
  <c r="I771" i="2"/>
  <c r="L770" i="2"/>
  <c r="K770" i="2"/>
  <c r="K770" i="2" a="1"/>
  <c r="J770" i="2"/>
  <c r="I770" i="2"/>
  <c r="L769" i="2"/>
  <c r="K769" i="2"/>
  <c r="K769" i="2" a="1"/>
  <c r="J769" i="2"/>
  <c r="I769" i="2"/>
  <c r="L768" i="2"/>
  <c r="K768" i="2"/>
  <c r="K768" i="2" a="1"/>
  <c r="J768" i="2"/>
  <c r="I768" i="2"/>
  <c r="L767" i="2"/>
  <c r="K767" i="2"/>
  <c r="K767" i="2" a="1"/>
  <c r="J767" i="2"/>
  <c r="I767" i="2"/>
  <c r="L766" i="2"/>
  <c r="K766" i="2"/>
  <c r="K766" i="2" a="1"/>
  <c r="J766" i="2"/>
  <c r="I766" i="2"/>
  <c r="L765" i="2"/>
  <c r="K765" i="2"/>
  <c r="K765" i="2" a="1"/>
  <c r="J765" i="2"/>
  <c r="I765" i="2"/>
  <c r="L764" i="2"/>
  <c r="K764" i="2"/>
  <c r="K764" i="2" a="1"/>
  <c r="J764" i="2"/>
  <c r="I764" i="2"/>
  <c r="L763" i="2"/>
  <c r="K763" i="2"/>
  <c r="K763" i="2" a="1"/>
  <c r="J763" i="2"/>
  <c r="I763" i="2"/>
  <c r="L762" i="2"/>
  <c r="K762" i="2"/>
  <c r="K762" i="2" a="1"/>
  <c r="J762" i="2"/>
  <c r="I762" i="2"/>
  <c r="L761" i="2"/>
  <c r="K761" i="2"/>
  <c r="K761" i="2" a="1"/>
  <c r="J761" i="2"/>
  <c r="I761" i="2"/>
  <c r="L760" i="2"/>
  <c r="K760" i="2"/>
  <c r="K760" i="2" a="1"/>
  <c r="J760" i="2"/>
  <c r="I760" i="2"/>
  <c r="L759" i="2"/>
  <c r="K759" i="2"/>
  <c r="K759" i="2" a="1"/>
  <c r="J759" i="2"/>
  <c r="I759" i="2"/>
  <c r="L758" i="2"/>
  <c r="K758" i="2"/>
  <c r="K758" i="2" a="1"/>
  <c r="J758" i="2"/>
  <c r="I758" i="2"/>
  <c r="L757" i="2"/>
  <c r="K757" i="2"/>
  <c r="K757" i="2" a="1"/>
  <c r="J757" i="2"/>
  <c r="I757" i="2"/>
  <c r="L756" i="2"/>
  <c r="K756" i="2"/>
  <c r="K756" i="2" a="1"/>
  <c r="J756" i="2"/>
  <c r="I756" i="2"/>
  <c r="L755" i="2"/>
  <c r="K755" i="2"/>
  <c r="K755" i="2" a="1"/>
  <c r="J755" i="2"/>
  <c r="I755" i="2"/>
  <c r="L754" i="2"/>
  <c r="K754" i="2"/>
  <c r="K754" i="2" a="1"/>
  <c r="J754" i="2"/>
  <c r="I754" i="2"/>
  <c r="L753" i="2"/>
  <c r="K753" i="2"/>
  <c r="K753" i="2" a="1"/>
  <c r="J753" i="2"/>
  <c r="I753" i="2"/>
  <c r="L752" i="2"/>
  <c r="K752" i="2"/>
  <c r="K752" i="2" a="1"/>
  <c r="J752" i="2"/>
  <c r="I752" i="2"/>
  <c r="L751" i="2"/>
  <c r="K751" i="2"/>
  <c r="K751" i="2" a="1"/>
  <c r="J751" i="2"/>
  <c r="I751" i="2"/>
  <c r="L750" i="2"/>
  <c r="K750" i="2"/>
  <c r="K750" i="2" a="1"/>
  <c r="J750" i="2"/>
  <c r="I750" i="2"/>
  <c r="L749" i="2"/>
  <c r="K749" i="2"/>
  <c r="K749" i="2" a="1"/>
  <c r="J749" i="2"/>
  <c r="I749" i="2"/>
  <c r="L748" i="2"/>
  <c r="K748" i="2"/>
  <c r="K748" i="2" a="1"/>
  <c r="J748" i="2"/>
  <c r="I748" i="2"/>
  <c r="L747" i="2"/>
  <c r="K747" i="2"/>
  <c r="K747" i="2" a="1"/>
  <c r="J747" i="2"/>
  <c r="I747" i="2"/>
  <c r="L746" i="2"/>
  <c r="K746" i="2"/>
  <c r="K746" i="2" a="1"/>
  <c r="J746" i="2"/>
  <c r="I746" i="2"/>
  <c r="L745" i="2"/>
  <c r="K745" i="2"/>
  <c r="K745" i="2" a="1"/>
  <c r="J745" i="2"/>
  <c r="I745" i="2"/>
  <c r="L744" i="2"/>
  <c r="K744" i="2"/>
  <c r="K744" i="2" a="1"/>
  <c r="J744" i="2"/>
  <c r="I744" i="2"/>
  <c r="L743" i="2"/>
  <c r="K743" i="2"/>
  <c r="K743" i="2" a="1"/>
  <c r="J743" i="2"/>
  <c r="I743" i="2"/>
  <c r="L742" i="2"/>
  <c r="K742" i="2"/>
  <c r="K742" i="2" a="1"/>
  <c r="J742" i="2"/>
  <c r="I742" i="2"/>
  <c r="L741" i="2"/>
  <c r="K741" i="2"/>
  <c r="K741" i="2" a="1"/>
  <c r="J741" i="2"/>
  <c r="I741" i="2"/>
  <c r="L740" i="2"/>
  <c r="K740" i="2"/>
  <c r="K740" i="2" a="1"/>
  <c r="J740" i="2"/>
  <c r="I740" i="2"/>
  <c r="L739" i="2"/>
  <c r="K739" i="2"/>
  <c r="K739" i="2" a="1"/>
  <c r="J739" i="2"/>
  <c r="I739" i="2"/>
  <c r="L738" i="2"/>
  <c r="K738" i="2"/>
  <c r="K738" i="2" a="1"/>
  <c r="J738" i="2"/>
  <c r="I738" i="2"/>
  <c r="L737" i="2"/>
  <c r="K737" i="2"/>
  <c r="K737" i="2" a="1"/>
  <c r="J737" i="2"/>
  <c r="I737" i="2"/>
  <c r="L736" i="2"/>
  <c r="K736" i="2"/>
  <c r="K736" i="2" a="1"/>
  <c r="J736" i="2"/>
  <c r="I736" i="2"/>
  <c r="L735" i="2"/>
  <c r="K735" i="2"/>
  <c r="K735" i="2" a="1"/>
  <c r="J735" i="2"/>
  <c r="I735" i="2"/>
  <c r="L734" i="2"/>
  <c r="K734" i="2"/>
  <c r="K734" i="2" a="1"/>
  <c r="J734" i="2"/>
  <c r="I734" i="2"/>
  <c r="L733" i="2"/>
  <c r="K733" i="2"/>
  <c r="K733" i="2" a="1"/>
  <c r="J733" i="2"/>
  <c r="I733" i="2"/>
  <c r="L732" i="2"/>
  <c r="K732" i="2"/>
  <c r="K732" i="2" a="1"/>
  <c r="J732" i="2"/>
  <c r="I732" i="2"/>
  <c r="L731" i="2"/>
  <c r="K731" i="2"/>
  <c r="K731" i="2" a="1"/>
  <c r="J731" i="2"/>
  <c r="I731" i="2"/>
  <c r="L730" i="2"/>
  <c r="K730" i="2"/>
  <c r="K730" i="2" a="1"/>
  <c r="J730" i="2"/>
  <c r="I730" i="2"/>
  <c r="L729" i="2"/>
  <c r="K729" i="2"/>
  <c r="K729" i="2" a="1"/>
  <c r="J729" i="2"/>
  <c r="I729" i="2"/>
  <c r="L728" i="2"/>
  <c r="K728" i="2"/>
  <c r="K728" i="2" a="1"/>
  <c r="J728" i="2"/>
  <c r="I728" i="2"/>
  <c r="L727" i="2"/>
  <c r="K727" i="2"/>
  <c r="K727" i="2" a="1"/>
  <c r="J727" i="2"/>
  <c r="I727" i="2"/>
  <c r="L726" i="2"/>
  <c r="K726" i="2"/>
  <c r="K726" i="2" a="1"/>
  <c r="J726" i="2"/>
  <c r="I726" i="2"/>
  <c r="L725" i="2"/>
  <c r="K725" i="2"/>
  <c r="K725" i="2" a="1"/>
  <c r="J725" i="2"/>
  <c r="I725" i="2"/>
  <c r="L724" i="2"/>
  <c r="K724" i="2"/>
  <c r="K724" i="2" a="1"/>
  <c r="J724" i="2"/>
  <c r="I724" i="2"/>
  <c r="L723" i="2"/>
  <c r="K723" i="2"/>
  <c r="K723" i="2" a="1"/>
  <c r="J723" i="2"/>
  <c r="I723" i="2"/>
  <c r="L722" i="2"/>
  <c r="K722" i="2"/>
  <c r="K722" i="2" a="1"/>
  <c r="J722" i="2"/>
  <c r="I722" i="2"/>
  <c r="L721" i="2"/>
  <c r="K721" i="2"/>
  <c r="K721" i="2" a="1"/>
  <c r="J721" i="2"/>
  <c r="I721" i="2"/>
  <c r="L720" i="2"/>
  <c r="K720" i="2"/>
  <c r="K720" i="2" a="1"/>
  <c r="J720" i="2"/>
  <c r="I720" i="2"/>
  <c r="L719" i="2"/>
  <c r="K719" i="2"/>
  <c r="K719" i="2" a="1"/>
  <c r="J719" i="2"/>
  <c r="I719" i="2"/>
  <c r="L718" i="2"/>
  <c r="K718" i="2"/>
  <c r="K718" i="2" a="1"/>
  <c r="J718" i="2"/>
  <c r="I718" i="2"/>
  <c r="L717" i="2"/>
  <c r="K717" i="2"/>
  <c r="K717" i="2" a="1"/>
  <c r="J717" i="2"/>
  <c r="I717" i="2"/>
  <c r="L716" i="2"/>
  <c r="K716" i="2"/>
  <c r="K716" i="2" a="1"/>
  <c r="J716" i="2"/>
  <c r="I716" i="2"/>
  <c r="L715" i="2"/>
  <c r="K715" i="2"/>
  <c r="K715" i="2" a="1"/>
  <c r="J715" i="2"/>
  <c r="I715" i="2"/>
  <c r="L714" i="2"/>
  <c r="K714" i="2"/>
  <c r="K714" i="2" a="1"/>
  <c r="J714" i="2"/>
  <c r="I714" i="2"/>
  <c r="L713" i="2"/>
  <c r="K713" i="2"/>
  <c r="K713" i="2" a="1"/>
  <c r="J713" i="2"/>
  <c r="I713" i="2"/>
  <c r="L712" i="2"/>
  <c r="K712" i="2"/>
  <c r="K712" i="2" a="1"/>
  <c r="J712" i="2"/>
  <c r="I712" i="2"/>
  <c r="L711" i="2"/>
  <c r="K711" i="2"/>
  <c r="K711" i="2" a="1"/>
  <c r="J711" i="2"/>
  <c r="I711" i="2"/>
  <c r="L710" i="2"/>
  <c r="K710" i="2"/>
  <c r="K710" i="2" a="1"/>
  <c r="J710" i="2"/>
  <c r="I710" i="2"/>
  <c r="L709" i="2"/>
  <c r="K709" i="2"/>
  <c r="K709" i="2" a="1"/>
  <c r="J709" i="2"/>
  <c r="I709" i="2"/>
  <c r="L708" i="2"/>
  <c r="K708" i="2"/>
  <c r="K708" i="2" a="1"/>
  <c r="J708" i="2"/>
  <c r="I708" i="2"/>
  <c r="L707" i="2"/>
  <c r="K707" i="2"/>
  <c r="K707" i="2" a="1"/>
  <c r="J707" i="2"/>
  <c r="I707" i="2"/>
  <c r="L706" i="2"/>
  <c r="K706" i="2"/>
  <c r="K706" i="2" a="1"/>
  <c r="J706" i="2"/>
  <c r="I706" i="2"/>
  <c r="L705" i="2"/>
  <c r="K705" i="2"/>
  <c r="K705" i="2" a="1"/>
  <c r="J705" i="2"/>
  <c r="I705" i="2"/>
  <c r="L704" i="2"/>
  <c r="K704" i="2"/>
  <c r="K704" i="2" a="1"/>
  <c r="J704" i="2"/>
  <c r="I704" i="2"/>
  <c r="L703" i="2"/>
  <c r="K703" i="2"/>
  <c r="K703" i="2" a="1"/>
  <c r="J703" i="2"/>
  <c r="I703" i="2"/>
  <c r="L702" i="2"/>
  <c r="K702" i="2"/>
  <c r="K702" i="2" a="1"/>
  <c r="J702" i="2"/>
  <c r="I702" i="2"/>
  <c r="L701" i="2"/>
  <c r="K701" i="2"/>
  <c r="K701" i="2" a="1"/>
  <c r="J701" i="2"/>
  <c r="I701" i="2"/>
  <c r="L700" i="2"/>
  <c r="K700" i="2"/>
  <c r="K700" i="2" a="1"/>
  <c r="J700" i="2"/>
  <c r="I700" i="2"/>
  <c r="L699" i="2"/>
  <c r="K699" i="2"/>
  <c r="K699" i="2" a="1"/>
  <c r="J699" i="2"/>
  <c r="I699" i="2"/>
  <c r="L698" i="2"/>
  <c r="K698" i="2"/>
  <c r="K698" i="2" a="1"/>
  <c r="J698" i="2"/>
  <c r="I698" i="2"/>
  <c r="L697" i="2"/>
  <c r="K697" i="2"/>
  <c r="K697" i="2" a="1"/>
  <c r="J697" i="2"/>
  <c r="I697" i="2"/>
  <c r="L696" i="2"/>
  <c r="K696" i="2"/>
  <c r="K696" i="2" a="1"/>
  <c r="J696" i="2"/>
  <c r="I696" i="2"/>
  <c r="L695" i="2"/>
  <c r="K695" i="2"/>
  <c r="K695" i="2" a="1"/>
  <c r="J695" i="2"/>
  <c r="I695" i="2"/>
  <c r="L694" i="2"/>
  <c r="K694" i="2"/>
  <c r="K694" i="2" a="1"/>
  <c r="J694" i="2"/>
  <c r="I694" i="2"/>
  <c r="L693" i="2"/>
  <c r="K693" i="2"/>
  <c r="K693" i="2" a="1"/>
  <c r="J693" i="2"/>
  <c r="I693" i="2"/>
  <c r="L692" i="2"/>
  <c r="K692" i="2"/>
  <c r="K692" i="2" a="1"/>
  <c r="J692" i="2"/>
  <c r="I692" i="2"/>
  <c r="L691" i="2"/>
  <c r="K691" i="2"/>
  <c r="K691" i="2" a="1"/>
  <c r="J691" i="2"/>
  <c r="I691" i="2"/>
  <c r="L690" i="2"/>
  <c r="K690" i="2"/>
  <c r="K690" i="2" a="1"/>
  <c r="J690" i="2"/>
  <c r="I690" i="2"/>
  <c r="L689" i="2"/>
  <c r="K689" i="2"/>
  <c r="K689" i="2" a="1"/>
  <c r="J689" i="2"/>
  <c r="I689" i="2"/>
  <c r="L688" i="2"/>
  <c r="K688" i="2"/>
  <c r="K688" i="2" a="1"/>
  <c r="J688" i="2"/>
  <c r="I688" i="2"/>
  <c r="L687" i="2"/>
  <c r="K687" i="2"/>
  <c r="K687" i="2" a="1"/>
  <c r="J687" i="2"/>
  <c r="I687" i="2"/>
  <c r="L686" i="2"/>
  <c r="K686" i="2"/>
  <c r="K686" i="2" a="1"/>
  <c r="J686" i="2"/>
  <c r="I686" i="2"/>
  <c r="L685" i="2"/>
  <c r="K685" i="2"/>
  <c r="K685" i="2" a="1"/>
  <c r="J685" i="2"/>
  <c r="I685" i="2"/>
  <c r="L684" i="2"/>
  <c r="K684" i="2"/>
  <c r="K684" i="2" a="1"/>
  <c r="J684" i="2"/>
  <c r="I684" i="2"/>
  <c r="L683" i="2"/>
  <c r="K683" i="2"/>
  <c r="K683" i="2" a="1"/>
  <c r="J683" i="2"/>
  <c r="I683" i="2"/>
  <c r="L682" i="2"/>
  <c r="K682" i="2"/>
  <c r="K682" i="2" a="1"/>
  <c r="J682" i="2"/>
  <c r="I682" i="2"/>
  <c r="L681" i="2"/>
  <c r="K681" i="2"/>
  <c r="K681" i="2" a="1"/>
  <c r="J681" i="2"/>
  <c r="I681" i="2"/>
  <c r="L680" i="2"/>
  <c r="K680" i="2"/>
  <c r="K680" i="2" a="1"/>
  <c r="J680" i="2"/>
  <c r="I680" i="2"/>
  <c r="L679" i="2"/>
  <c r="K679" i="2"/>
  <c r="K679" i="2" a="1"/>
  <c r="J679" i="2"/>
  <c r="I679" i="2"/>
  <c r="L678" i="2"/>
  <c r="K678" i="2"/>
  <c r="K678" i="2" a="1"/>
  <c r="J678" i="2"/>
  <c r="I678" i="2"/>
  <c r="L677" i="2"/>
  <c r="K677" i="2"/>
  <c r="K677" i="2" a="1"/>
  <c r="J677" i="2"/>
  <c r="I677" i="2"/>
  <c r="L676" i="2"/>
  <c r="K676" i="2"/>
  <c r="K676" i="2" a="1"/>
  <c r="J676" i="2"/>
  <c r="I676" i="2"/>
  <c r="L675" i="2"/>
  <c r="K675" i="2"/>
  <c r="K675" i="2" a="1"/>
  <c r="J675" i="2"/>
  <c r="I675" i="2"/>
  <c r="L674" i="2"/>
  <c r="K674" i="2"/>
  <c r="K674" i="2" a="1"/>
  <c r="J674" i="2"/>
  <c r="I674" i="2"/>
  <c r="L673" i="2"/>
  <c r="K673" i="2"/>
  <c r="K673" i="2" a="1"/>
  <c r="J673" i="2"/>
  <c r="I673" i="2"/>
  <c r="L672" i="2"/>
  <c r="K672" i="2"/>
  <c r="K672" i="2" a="1"/>
  <c r="J672" i="2"/>
  <c r="I672" i="2"/>
  <c r="L671" i="2"/>
  <c r="K671" i="2"/>
  <c r="K671" i="2" a="1"/>
  <c r="J671" i="2"/>
  <c r="I671" i="2"/>
  <c r="L670" i="2"/>
  <c r="K670" i="2"/>
  <c r="K670" i="2" a="1"/>
  <c r="J670" i="2"/>
  <c r="I670" i="2"/>
  <c r="L669" i="2"/>
  <c r="K669" i="2"/>
  <c r="K669" i="2" a="1"/>
  <c r="J669" i="2"/>
  <c r="I669" i="2"/>
  <c r="L668" i="2"/>
  <c r="K668" i="2"/>
  <c r="K668" i="2" a="1"/>
  <c r="J668" i="2"/>
  <c r="I668" i="2"/>
  <c r="L667" i="2"/>
  <c r="K667" i="2"/>
  <c r="K667" i="2" a="1"/>
  <c r="J667" i="2"/>
  <c r="I667" i="2"/>
  <c r="L666" i="2"/>
  <c r="K666" i="2"/>
  <c r="K666" i="2" a="1"/>
  <c r="J666" i="2"/>
  <c r="I666" i="2"/>
  <c r="L665" i="2"/>
  <c r="K665" i="2"/>
  <c r="K665" i="2" a="1"/>
  <c r="J665" i="2"/>
  <c r="I665" i="2"/>
  <c r="L664" i="2"/>
  <c r="K664" i="2"/>
  <c r="K664" i="2" a="1"/>
  <c r="J664" i="2"/>
  <c r="I664" i="2"/>
  <c r="L663" i="2"/>
  <c r="K663" i="2"/>
  <c r="K663" i="2" a="1"/>
  <c r="J663" i="2"/>
  <c r="I663" i="2"/>
  <c r="L662" i="2"/>
  <c r="K662" i="2"/>
  <c r="K662" i="2" a="1"/>
  <c r="J662" i="2"/>
  <c r="I662" i="2"/>
  <c r="L661" i="2"/>
  <c r="K661" i="2"/>
  <c r="K661" i="2" a="1"/>
  <c r="J661" i="2"/>
  <c r="I661" i="2"/>
  <c r="L660" i="2"/>
  <c r="K660" i="2"/>
  <c r="K660" i="2" a="1"/>
  <c r="J660" i="2"/>
  <c r="I660" i="2"/>
  <c r="L659" i="2"/>
  <c r="K659" i="2"/>
  <c r="K659" i="2" a="1"/>
  <c r="J659" i="2"/>
  <c r="I659" i="2"/>
  <c r="L658" i="2"/>
  <c r="K658" i="2"/>
  <c r="K658" i="2" a="1"/>
  <c r="J658" i="2"/>
  <c r="I658" i="2"/>
  <c r="L657" i="2"/>
  <c r="K657" i="2"/>
  <c r="K657" i="2" a="1"/>
  <c r="J657" i="2"/>
  <c r="I657" i="2"/>
  <c r="L656" i="2"/>
  <c r="K656" i="2"/>
  <c r="K656" i="2" a="1"/>
  <c r="J656" i="2"/>
  <c r="I656" i="2"/>
  <c r="L655" i="2"/>
  <c r="K655" i="2"/>
  <c r="K655" i="2" a="1"/>
  <c r="J655" i="2"/>
  <c r="I655" i="2"/>
  <c r="L654" i="2"/>
  <c r="K654" i="2"/>
  <c r="K654" i="2" a="1"/>
  <c r="J654" i="2"/>
  <c r="I654" i="2"/>
  <c r="L653" i="2"/>
  <c r="K653" i="2"/>
  <c r="K653" i="2" a="1"/>
  <c r="J653" i="2"/>
  <c r="I653" i="2"/>
  <c r="L652" i="2"/>
  <c r="K652" i="2"/>
  <c r="K652" i="2" a="1"/>
  <c r="J652" i="2"/>
  <c r="I652" i="2"/>
  <c r="L651" i="2"/>
  <c r="K651" i="2"/>
  <c r="K651" i="2" a="1"/>
  <c r="J651" i="2"/>
  <c r="I651" i="2"/>
  <c r="L650" i="2"/>
  <c r="K650" i="2"/>
  <c r="K650" i="2" a="1"/>
  <c r="J650" i="2"/>
  <c r="I650" i="2"/>
  <c r="L649" i="2"/>
  <c r="K649" i="2"/>
  <c r="K649" i="2" a="1"/>
  <c r="J649" i="2"/>
  <c r="I649" i="2"/>
  <c r="L648" i="2"/>
  <c r="K648" i="2"/>
  <c r="K648" i="2" a="1"/>
  <c r="J648" i="2"/>
  <c r="I648" i="2"/>
  <c r="L647" i="2"/>
  <c r="K647" i="2"/>
  <c r="K647" i="2" a="1"/>
  <c r="J647" i="2"/>
  <c r="I647" i="2"/>
  <c r="L646" i="2"/>
  <c r="K646" i="2"/>
  <c r="K646" i="2" a="1"/>
  <c r="J646" i="2"/>
  <c r="I646" i="2"/>
  <c r="L645" i="2"/>
  <c r="K645" i="2"/>
  <c r="K645" i="2" a="1"/>
  <c r="J645" i="2"/>
  <c r="I645" i="2"/>
  <c r="L644" i="2"/>
  <c r="K644" i="2"/>
  <c r="K644" i="2" a="1"/>
  <c r="J644" i="2"/>
  <c r="I644" i="2"/>
  <c r="L643" i="2"/>
  <c r="K643" i="2"/>
  <c r="K643" i="2" a="1"/>
  <c r="J643" i="2"/>
  <c r="I643" i="2"/>
  <c r="L642" i="2"/>
  <c r="K642" i="2"/>
  <c r="K642" i="2" a="1"/>
  <c r="J642" i="2"/>
  <c r="I642" i="2"/>
  <c r="L641" i="2"/>
  <c r="K641" i="2"/>
  <c r="K641" i="2" a="1"/>
  <c r="J641" i="2"/>
  <c r="I641" i="2"/>
  <c r="L640" i="2"/>
  <c r="K640" i="2"/>
  <c r="K640" i="2" a="1"/>
  <c r="J640" i="2"/>
  <c r="I640" i="2"/>
  <c r="L639" i="2"/>
  <c r="K639" i="2"/>
  <c r="K639" i="2" a="1"/>
  <c r="J639" i="2"/>
  <c r="I639" i="2"/>
  <c r="L638" i="2"/>
  <c r="K638" i="2"/>
  <c r="K638" i="2" a="1"/>
  <c r="J638" i="2"/>
  <c r="I638" i="2"/>
  <c r="L637" i="2"/>
  <c r="K637" i="2"/>
  <c r="K637" i="2" a="1"/>
  <c r="J637" i="2"/>
  <c r="I637" i="2"/>
  <c r="L636" i="2"/>
  <c r="K636" i="2"/>
  <c r="K636" i="2" a="1"/>
  <c r="J636" i="2"/>
  <c r="I636" i="2"/>
  <c r="L635" i="2"/>
  <c r="K635" i="2"/>
  <c r="K635" i="2" a="1"/>
  <c r="J635" i="2"/>
  <c r="I635" i="2"/>
  <c r="L634" i="2"/>
  <c r="K634" i="2"/>
  <c r="K634" i="2" a="1"/>
  <c r="J634" i="2"/>
  <c r="I634" i="2"/>
  <c r="L633" i="2"/>
  <c r="K633" i="2"/>
  <c r="K633" i="2" a="1"/>
  <c r="J633" i="2"/>
  <c r="I633" i="2"/>
  <c r="L632" i="2"/>
  <c r="K632" i="2"/>
  <c r="K632" i="2" a="1"/>
  <c r="J632" i="2"/>
  <c r="I632" i="2"/>
  <c r="L631" i="2"/>
  <c r="K631" i="2"/>
  <c r="K631" i="2" a="1"/>
  <c r="J631" i="2"/>
  <c r="I631" i="2"/>
  <c r="L630" i="2"/>
  <c r="K630" i="2"/>
  <c r="K630" i="2" a="1"/>
  <c r="J630" i="2"/>
  <c r="I630" i="2"/>
  <c r="L629" i="2"/>
  <c r="K629" i="2"/>
  <c r="K629" i="2" a="1"/>
  <c r="J629" i="2"/>
  <c r="I629" i="2"/>
  <c r="L628" i="2"/>
  <c r="K628" i="2"/>
  <c r="K628" i="2" a="1"/>
  <c r="J628" i="2"/>
  <c r="I628" i="2"/>
  <c r="L627" i="2"/>
  <c r="K627" i="2"/>
  <c r="K627" i="2" a="1"/>
  <c r="J627" i="2"/>
  <c r="I627" i="2"/>
  <c r="L626" i="2"/>
  <c r="K626" i="2"/>
  <c r="K626" i="2" a="1"/>
  <c r="J626" i="2"/>
  <c r="I626" i="2"/>
  <c r="L625" i="2"/>
  <c r="K625" i="2"/>
  <c r="K625" i="2" a="1"/>
  <c r="J625" i="2"/>
  <c r="I625" i="2"/>
  <c r="L624" i="2"/>
  <c r="K624" i="2"/>
  <c r="K624" i="2" a="1"/>
  <c r="J624" i="2"/>
  <c r="I624" i="2"/>
  <c r="L623" i="2"/>
  <c r="K623" i="2"/>
  <c r="K623" i="2" a="1"/>
  <c r="J623" i="2"/>
  <c r="I623" i="2"/>
  <c r="L622" i="2"/>
  <c r="K622" i="2"/>
  <c r="K622" i="2" a="1"/>
  <c r="J622" i="2"/>
  <c r="I622" i="2"/>
  <c r="L621" i="2"/>
  <c r="K621" i="2"/>
  <c r="K621" i="2" a="1"/>
  <c r="J621" i="2"/>
  <c r="I621" i="2"/>
  <c r="L620" i="2"/>
  <c r="K620" i="2"/>
  <c r="K620" i="2" a="1"/>
  <c r="J620" i="2"/>
  <c r="I620" i="2"/>
  <c r="L619" i="2"/>
  <c r="K619" i="2"/>
  <c r="K619" i="2" a="1"/>
  <c r="J619" i="2"/>
  <c r="I619" i="2"/>
  <c r="L618" i="2"/>
  <c r="K618" i="2"/>
  <c r="K618" i="2" a="1"/>
  <c r="J618" i="2"/>
  <c r="I618" i="2"/>
  <c r="L617" i="2"/>
  <c r="K617" i="2"/>
  <c r="K617" i="2" a="1"/>
  <c r="J617" i="2"/>
  <c r="I617" i="2"/>
  <c r="L616" i="2"/>
  <c r="K616" i="2"/>
  <c r="K616" i="2" a="1"/>
  <c r="J616" i="2"/>
  <c r="I616" i="2"/>
  <c r="L615" i="2"/>
  <c r="K615" i="2"/>
  <c r="K615" i="2" a="1"/>
  <c r="J615" i="2"/>
  <c r="I615" i="2"/>
  <c r="L614" i="2"/>
  <c r="K614" i="2"/>
  <c r="K614" i="2" a="1"/>
  <c r="J614" i="2"/>
  <c r="I614" i="2"/>
  <c r="L613" i="2"/>
  <c r="K613" i="2"/>
  <c r="K613" i="2" a="1"/>
  <c r="J613" i="2"/>
  <c r="I613" i="2"/>
  <c r="L612" i="2"/>
  <c r="K612" i="2"/>
  <c r="K612" i="2" a="1"/>
  <c r="J612" i="2"/>
  <c r="I612" i="2"/>
  <c r="L611" i="2"/>
  <c r="K611" i="2"/>
  <c r="K611" i="2" a="1"/>
  <c r="J611" i="2"/>
  <c r="I611" i="2"/>
  <c r="L610" i="2"/>
  <c r="K610" i="2"/>
  <c r="K610" i="2" a="1"/>
  <c r="J610" i="2"/>
  <c r="I610" i="2"/>
  <c r="L609" i="2"/>
  <c r="K609" i="2"/>
  <c r="K609" i="2" a="1"/>
  <c r="J609" i="2"/>
  <c r="I609" i="2"/>
  <c r="L608" i="2"/>
  <c r="K608" i="2"/>
  <c r="K608" i="2" a="1"/>
  <c r="J608" i="2"/>
  <c r="I608" i="2"/>
  <c r="L607" i="2"/>
  <c r="K607" i="2"/>
  <c r="K607" i="2" a="1"/>
  <c r="J607" i="2"/>
  <c r="I607" i="2"/>
  <c r="L606" i="2"/>
  <c r="K606" i="2"/>
  <c r="K606" i="2" a="1"/>
  <c r="J606" i="2"/>
  <c r="I606" i="2"/>
  <c r="L605" i="2"/>
  <c r="K605" i="2"/>
  <c r="K605" i="2" a="1"/>
  <c r="J605" i="2"/>
  <c r="I605" i="2"/>
  <c r="L604" i="2"/>
  <c r="K604" i="2"/>
  <c r="K604" i="2" a="1"/>
  <c r="J604" i="2"/>
  <c r="I604" i="2"/>
  <c r="L603" i="2"/>
  <c r="K603" i="2"/>
  <c r="K603" i="2" a="1"/>
  <c r="J603" i="2"/>
  <c r="I603" i="2"/>
  <c r="L602" i="2"/>
  <c r="K602" i="2"/>
  <c r="K602" i="2" a="1"/>
  <c r="J602" i="2"/>
  <c r="I602" i="2"/>
  <c r="L601" i="2"/>
  <c r="K601" i="2"/>
  <c r="K601" i="2" a="1"/>
  <c r="J601" i="2"/>
  <c r="I601" i="2"/>
  <c r="L600" i="2"/>
  <c r="K600" i="2"/>
  <c r="K600" i="2" a="1"/>
  <c r="J600" i="2"/>
  <c r="I600" i="2"/>
  <c r="L599" i="2"/>
  <c r="K599" i="2"/>
  <c r="K599" i="2" a="1"/>
  <c r="J599" i="2"/>
  <c r="I599" i="2"/>
  <c r="L598" i="2"/>
  <c r="K598" i="2"/>
  <c r="K598" i="2" a="1"/>
  <c r="J598" i="2"/>
  <c r="I598" i="2"/>
  <c r="L597" i="2"/>
  <c r="K597" i="2"/>
  <c r="K597" i="2" a="1"/>
  <c r="J597" i="2"/>
  <c r="I597" i="2"/>
  <c r="L596" i="2"/>
  <c r="K596" i="2"/>
  <c r="K596" i="2" a="1"/>
  <c r="J596" i="2"/>
  <c r="I596" i="2"/>
  <c r="L595" i="2"/>
  <c r="K595" i="2"/>
  <c r="K595" i="2" a="1"/>
  <c r="J595" i="2"/>
  <c r="I595" i="2"/>
  <c r="L594" i="2"/>
  <c r="K594" i="2"/>
  <c r="K594" i="2" a="1"/>
  <c r="J594" i="2"/>
  <c r="I594" i="2"/>
  <c r="L593" i="2"/>
  <c r="K593" i="2"/>
  <c r="K593" i="2" a="1"/>
  <c r="J593" i="2"/>
  <c r="I593" i="2"/>
  <c r="L592" i="2"/>
  <c r="K592" i="2"/>
  <c r="K592" i="2" a="1"/>
  <c r="J592" i="2"/>
  <c r="I592" i="2"/>
  <c r="L591" i="2"/>
  <c r="K591" i="2"/>
  <c r="K591" i="2" a="1"/>
  <c r="J591" i="2"/>
  <c r="I591" i="2"/>
  <c r="L590" i="2"/>
  <c r="K590" i="2"/>
  <c r="K590" i="2" a="1"/>
  <c r="J590" i="2"/>
  <c r="I590" i="2"/>
  <c r="L589" i="2"/>
  <c r="K589" i="2"/>
  <c r="K589" i="2" a="1"/>
  <c r="J589" i="2"/>
  <c r="I589" i="2"/>
  <c r="L588" i="2"/>
  <c r="K588" i="2"/>
  <c r="K588" i="2" a="1"/>
  <c r="J588" i="2"/>
  <c r="I588" i="2"/>
  <c r="L587" i="2"/>
  <c r="K587" i="2"/>
  <c r="K587" i="2" a="1"/>
  <c r="J587" i="2"/>
  <c r="I587" i="2"/>
  <c r="L586" i="2"/>
  <c r="K586" i="2"/>
  <c r="K586" i="2" a="1"/>
  <c r="J586" i="2"/>
  <c r="I586" i="2"/>
  <c r="L585" i="2"/>
  <c r="K585" i="2"/>
  <c r="K585" i="2" a="1"/>
  <c r="J585" i="2"/>
  <c r="I585" i="2"/>
  <c r="L584" i="2"/>
  <c r="K584" i="2"/>
  <c r="K584" i="2" a="1"/>
  <c r="J584" i="2"/>
  <c r="I584" i="2"/>
  <c r="L583" i="2"/>
  <c r="K583" i="2"/>
  <c r="K583" i="2" a="1"/>
  <c r="J583" i="2"/>
  <c r="I583" i="2"/>
  <c r="L582" i="2"/>
  <c r="K582" i="2"/>
  <c r="K582" i="2" a="1"/>
  <c r="J582" i="2"/>
  <c r="I582" i="2"/>
  <c r="L581" i="2"/>
  <c r="K581" i="2"/>
  <c r="K581" i="2" a="1"/>
  <c r="J581" i="2"/>
  <c r="I581" i="2"/>
  <c r="L580" i="2"/>
  <c r="K580" i="2"/>
  <c r="K580" i="2" a="1"/>
  <c r="J580" i="2"/>
  <c r="I580" i="2"/>
  <c r="L579" i="2"/>
  <c r="K579" i="2"/>
  <c r="K579" i="2" a="1"/>
  <c r="J579" i="2"/>
  <c r="I579" i="2"/>
  <c r="L578" i="2"/>
  <c r="K578" i="2"/>
  <c r="K578" i="2" a="1"/>
  <c r="J578" i="2"/>
  <c r="I578" i="2"/>
  <c r="L577" i="2"/>
  <c r="K577" i="2"/>
  <c r="K577" i="2" a="1"/>
  <c r="J577" i="2"/>
  <c r="I577" i="2"/>
  <c r="L576" i="2"/>
  <c r="K576" i="2"/>
  <c r="K576" i="2" a="1"/>
  <c r="J576" i="2"/>
  <c r="I576" i="2"/>
  <c r="L575" i="2"/>
  <c r="K575" i="2"/>
  <c r="K575" i="2" a="1"/>
  <c r="J575" i="2"/>
  <c r="I575" i="2"/>
  <c r="L574" i="2"/>
  <c r="K574" i="2"/>
  <c r="K574" i="2" a="1"/>
  <c r="J574" i="2"/>
  <c r="I574" i="2"/>
  <c r="L573" i="2"/>
  <c r="K573" i="2"/>
  <c r="K573" i="2" a="1"/>
  <c r="J573" i="2"/>
  <c r="I573" i="2"/>
  <c r="L572" i="2"/>
  <c r="K572" i="2"/>
  <c r="K572" i="2" a="1"/>
  <c r="J572" i="2"/>
  <c r="I572" i="2"/>
  <c r="L571" i="2"/>
  <c r="K571" i="2"/>
  <c r="K571" i="2" a="1"/>
  <c r="J571" i="2"/>
  <c r="I571" i="2"/>
  <c r="L570" i="2"/>
  <c r="K570" i="2"/>
  <c r="K570" i="2" a="1"/>
  <c r="J570" i="2"/>
  <c r="I570" i="2"/>
  <c r="L569" i="2"/>
  <c r="K569" i="2"/>
  <c r="K569" i="2" a="1"/>
  <c r="J569" i="2"/>
  <c r="I569" i="2"/>
  <c r="L568" i="2"/>
  <c r="K568" i="2"/>
  <c r="K568" i="2" a="1"/>
  <c r="J568" i="2"/>
  <c r="I568" i="2"/>
  <c r="L567" i="2"/>
  <c r="K567" i="2"/>
  <c r="K567" i="2" a="1"/>
  <c r="J567" i="2"/>
  <c r="I567" i="2"/>
  <c r="L566" i="2"/>
  <c r="K566" i="2"/>
  <c r="K566" i="2" a="1"/>
  <c r="J566" i="2"/>
  <c r="I566" i="2"/>
  <c r="L565" i="2"/>
  <c r="K565" i="2"/>
  <c r="K565" i="2" a="1"/>
  <c r="J565" i="2"/>
  <c r="I565" i="2"/>
  <c r="L564" i="2"/>
  <c r="K564" i="2"/>
  <c r="K564" i="2" a="1"/>
  <c r="J564" i="2"/>
  <c r="I564" i="2"/>
  <c r="L563" i="2"/>
  <c r="K563" i="2"/>
  <c r="K563" i="2" a="1"/>
  <c r="J563" i="2"/>
  <c r="I563" i="2"/>
  <c r="L562" i="2"/>
  <c r="K562" i="2"/>
  <c r="K562" i="2" a="1"/>
  <c r="J562" i="2"/>
  <c r="I562" i="2"/>
  <c r="L561" i="2"/>
  <c r="K561" i="2"/>
  <c r="K561" i="2" a="1"/>
  <c r="J561" i="2"/>
  <c r="I561" i="2"/>
  <c r="L560" i="2"/>
  <c r="K560" i="2"/>
  <c r="K560" i="2" a="1"/>
  <c r="J560" i="2"/>
  <c r="I560" i="2"/>
  <c r="L559" i="2"/>
  <c r="K559" i="2"/>
  <c r="K559" i="2" a="1"/>
  <c r="J559" i="2"/>
  <c r="I559" i="2"/>
  <c r="L558" i="2"/>
  <c r="K558" i="2"/>
  <c r="K558" i="2" a="1"/>
  <c r="J558" i="2"/>
  <c r="I558" i="2"/>
  <c r="L557" i="2"/>
  <c r="K557" i="2"/>
  <c r="K557" i="2" a="1"/>
  <c r="J557" i="2"/>
  <c r="I557" i="2"/>
  <c r="L556" i="2"/>
  <c r="K556" i="2"/>
  <c r="K556" i="2" a="1"/>
  <c r="J556" i="2"/>
  <c r="I556" i="2"/>
  <c r="L555" i="2"/>
  <c r="K555" i="2"/>
  <c r="K555" i="2" a="1"/>
  <c r="J555" i="2"/>
  <c r="I555" i="2"/>
  <c r="L554" i="2"/>
  <c r="K554" i="2"/>
  <c r="K554" i="2" a="1"/>
  <c r="J554" i="2"/>
  <c r="I554" i="2"/>
  <c r="L553" i="2"/>
  <c r="K553" i="2"/>
  <c r="K553" i="2" a="1"/>
  <c r="J553" i="2"/>
  <c r="I553" i="2"/>
  <c r="L552" i="2"/>
  <c r="K552" i="2"/>
  <c r="K552" i="2" a="1"/>
  <c r="J552" i="2"/>
  <c r="I552" i="2"/>
  <c r="L551" i="2"/>
  <c r="K551" i="2"/>
  <c r="K551" i="2" a="1"/>
  <c r="J551" i="2"/>
  <c r="I551" i="2"/>
  <c r="L550" i="2"/>
  <c r="K550" i="2"/>
  <c r="K550" i="2" a="1"/>
  <c r="J550" i="2"/>
  <c r="I550" i="2"/>
  <c r="L549" i="2"/>
  <c r="K549" i="2"/>
  <c r="K549" i="2" a="1"/>
  <c r="J549" i="2"/>
  <c r="I549" i="2"/>
  <c r="L548" i="2"/>
  <c r="K548" i="2"/>
  <c r="K548" i="2" a="1"/>
  <c r="J548" i="2"/>
  <c r="I548" i="2"/>
  <c r="L547" i="2"/>
  <c r="K547" i="2"/>
  <c r="K547" i="2" a="1"/>
  <c r="J547" i="2"/>
  <c r="I547" i="2"/>
  <c r="L546" i="2"/>
  <c r="K546" i="2"/>
  <c r="K546" i="2" a="1"/>
  <c r="J546" i="2"/>
  <c r="I546" i="2"/>
  <c r="L545" i="2"/>
  <c r="K545" i="2"/>
  <c r="K545" i="2" a="1"/>
  <c r="J545" i="2"/>
  <c r="I545" i="2"/>
  <c r="L544" i="2"/>
  <c r="K544" i="2"/>
  <c r="K544" i="2" a="1"/>
  <c r="J544" i="2"/>
  <c r="I544" i="2"/>
  <c r="L543" i="2"/>
  <c r="K543" i="2"/>
  <c r="K543" i="2" a="1"/>
  <c r="J543" i="2"/>
  <c r="I543" i="2"/>
  <c r="L542" i="2"/>
  <c r="K542" i="2"/>
  <c r="K542" i="2" a="1"/>
  <c r="J542" i="2"/>
  <c r="I542" i="2"/>
  <c r="L541" i="2"/>
  <c r="K541" i="2"/>
  <c r="K541" i="2" a="1"/>
  <c r="J541" i="2"/>
  <c r="I541" i="2"/>
  <c r="L540" i="2"/>
  <c r="K540" i="2"/>
  <c r="K540" i="2" a="1"/>
  <c r="J540" i="2"/>
  <c r="I540" i="2"/>
  <c r="L539" i="2"/>
  <c r="K539" i="2"/>
  <c r="K539" i="2" a="1"/>
  <c r="J539" i="2"/>
  <c r="I539" i="2"/>
  <c r="L538" i="2"/>
  <c r="K538" i="2"/>
  <c r="K538" i="2" a="1"/>
  <c r="J538" i="2"/>
  <c r="I538" i="2"/>
  <c r="L537" i="2"/>
  <c r="K537" i="2"/>
  <c r="K537" i="2" a="1"/>
  <c r="J537" i="2"/>
  <c r="I537" i="2"/>
  <c r="L536" i="2"/>
  <c r="K536" i="2"/>
  <c r="K536" i="2" a="1"/>
  <c r="J536" i="2"/>
  <c r="I536" i="2"/>
  <c r="L535" i="2"/>
  <c r="K535" i="2"/>
  <c r="K535" i="2" a="1"/>
  <c r="J535" i="2"/>
  <c r="I535" i="2"/>
  <c r="L534" i="2"/>
  <c r="K534" i="2"/>
  <c r="K534" i="2" a="1"/>
  <c r="J534" i="2"/>
  <c r="I534" i="2"/>
  <c r="L533" i="2"/>
  <c r="K533" i="2"/>
  <c r="K533" i="2" a="1"/>
  <c r="J533" i="2"/>
  <c r="I533" i="2"/>
  <c r="L532" i="2"/>
  <c r="K532" i="2"/>
  <c r="K532" i="2" a="1"/>
  <c r="J532" i="2"/>
  <c r="I532" i="2"/>
  <c r="L531" i="2"/>
  <c r="K531" i="2"/>
  <c r="K531" i="2" a="1"/>
  <c r="J531" i="2"/>
  <c r="I531" i="2"/>
  <c r="L530" i="2"/>
  <c r="K530" i="2"/>
  <c r="K530" i="2" a="1"/>
  <c r="J530" i="2"/>
  <c r="I530" i="2"/>
  <c r="L529" i="2"/>
  <c r="K529" i="2"/>
  <c r="K529" i="2" a="1"/>
  <c r="J529" i="2"/>
  <c r="I529" i="2"/>
  <c r="L528" i="2"/>
  <c r="K528" i="2"/>
  <c r="K528" i="2" a="1"/>
  <c r="J528" i="2"/>
  <c r="I528" i="2"/>
  <c r="L527" i="2"/>
  <c r="K527" i="2"/>
  <c r="K527" i="2" a="1"/>
  <c r="J527" i="2"/>
  <c r="I527" i="2"/>
  <c r="L526" i="2"/>
  <c r="K526" i="2"/>
  <c r="K526" i="2" a="1"/>
  <c r="J526" i="2"/>
  <c r="I526" i="2"/>
  <c r="L525" i="2"/>
  <c r="K525" i="2"/>
  <c r="K525" i="2" a="1"/>
  <c r="J525" i="2"/>
  <c r="I525" i="2"/>
  <c r="L524" i="2"/>
  <c r="K524" i="2"/>
  <c r="K524" i="2" a="1"/>
  <c r="J524" i="2"/>
  <c r="I524" i="2"/>
  <c r="L523" i="2"/>
  <c r="K523" i="2"/>
  <c r="K523" i="2" a="1"/>
  <c r="J523" i="2"/>
  <c r="I523" i="2"/>
  <c r="L522" i="2"/>
  <c r="K522" i="2"/>
  <c r="K522" i="2" a="1"/>
  <c r="J522" i="2"/>
  <c r="I522" i="2"/>
  <c r="L521" i="2"/>
  <c r="K521" i="2"/>
  <c r="K521" i="2" a="1"/>
  <c r="J521" i="2"/>
  <c r="I521" i="2"/>
  <c r="L520" i="2"/>
  <c r="K520" i="2"/>
  <c r="K520" i="2" a="1"/>
  <c r="J520" i="2"/>
  <c r="I520" i="2"/>
  <c r="L519" i="2"/>
  <c r="K519" i="2"/>
  <c r="K519" i="2" a="1"/>
  <c r="J519" i="2"/>
  <c r="I519" i="2"/>
  <c r="L518" i="2"/>
  <c r="K518" i="2"/>
  <c r="K518" i="2" a="1"/>
  <c r="J518" i="2"/>
  <c r="I518" i="2"/>
  <c r="L517" i="2"/>
  <c r="K517" i="2"/>
  <c r="K517" i="2" a="1"/>
  <c r="J517" i="2"/>
  <c r="I517" i="2"/>
  <c r="L516" i="2"/>
  <c r="K516" i="2"/>
  <c r="K516" i="2" a="1"/>
  <c r="J516" i="2"/>
  <c r="I516" i="2"/>
  <c r="L515" i="2"/>
  <c r="K515" i="2"/>
  <c r="K515" i="2" a="1"/>
  <c r="J515" i="2"/>
  <c r="I515" i="2"/>
  <c r="L514" i="2"/>
  <c r="K514" i="2"/>
  <c r="K514" i="2" a="1"/>
  <c r="J514" i="2"/>
  <c r="I514" i="2"/>
  <c r="L513" i="2"/>
  <c r="K513" i="2"/>
  <c r="K513" i="2" a="1"/>
  <c r="J513" i="2"/>
  <c r="I513" i="2"/>
  <c r="L512" i="2"/>
  <c r="K512" i="2"/>
  <c r="K512" i="2" a="1"/>
  <c r="J512" i="2"/>
  <c r="I512" i="2"/>
  <c r="L511" i="2"/>
  <c r="K511" i="2"/>
  <c r="K511" i="2" a="1"/>
  <c r="J511" i="2"/>
  <c r="I511" i="2"/>
  <c r="L510" i="2"/>
  <c r="K510" i="2"/>
  <c r="K510" i="2" a="1"/>
  <c r="J510" i="2"/>
  <c r="I510" i="2"/>
  <c r="L509" i="2"/>
  <c r="K509" i="2"/>
  <c r="K509" i="2" a="1"/>
  <c r="J509" i="2"/>
  <c r="I509" i="2"/>
  <c r="L508" i="2"/>
  <c r="K508" i="2"/>
  <c r="K508" i="2" a="1"/>
  <c r="J508" i="2"/>
  <c r="I508" i="2"/>
  <c r="L507" i="2"/>
  <c r="K507" i="2"/>
  <c r="K507" i="2" a="1"/>
  <c r="J507" i="2"/>
  <c r="I507" i="2"/>
  <c r="L506" i="2"/>
  <c r="K506" i="2"/>
  <c r="K506" i="2" a="1"/>
  <c r="J506" i="2"/>
  <c r="I506" i="2"/>
  <c r="L505" i="2"/>
  <c r="K505" i="2"/>
  <c r="K505" i="2" a="1"/>
  <c r="J505" i="2"/>
  <c r="I505" i="2"/>
  <c r="L504" i="2"/>
  <c r="K504" i="2"/>
  <c r="K504" i="2" a="1"/>
  <c r="J504" i="2"/>
  <c r="I504" i="2"/>
  <c r="L503" i="2"/>
  <c r="K503" i="2"/>
  <c r="K503" i="2" a="1"/>
  <c r="J503" i="2"/>
  <c r="I503" i="2"/>
  <c r="L502" i="2"/>
  <c r="K502" i="2"/>
  <c r="K502" i="2" a="1"/>
  <c r="J502" i="2"/>
  <c r="I502" i="2"/>
  <c r="L501" i="2"/>
  <c r="K501" i="2"/>
  <c r="K501" i="2" a="1"/>
  <c r="J501" i="2"/>
  <c r="I501" i="2"/>
  <c r="L500" i="2"/>
  <c r="K500" i="2"/>
  <c r="K500" i="2" a="1"/>
  <c r="J500" i="2"/>
  <c r="I500" i="2"/>
  <c r="L499" i="2"/>
  <c r="K499" i="2"/>
  <c r="K499" i="2" a="1"/>
  <c r="J499" i="2"/>
  <c r="I499" i="2"/>
  <c r="L498" i="2"/>
  <c r="K498" i="2"/>
  <c r="K498" i="2" a="1"/>
  <c r="J498" i="2"/>
  <c r="I498" i="2"/>
  <c r="L497" i="2"/>
  <c r="K497" i="2"/>
  <c r="K497" i="2" a="1"/>
  <c r="J497" i="2"/>
  <c r="I497" i="2"/>
  <c r="L496" i="2"/>
  <c r="K496" i="2"/>
  <c r="K496" i="2" a="1"/>
  <c r="J496" i="2"/>
  <c r="I496" i="2"/>
  <c r="L495" i="2"/>
  <c r="K495" i="2"/>
  <c r="K495" i="2" a="1"/>
  <c r="J495" i="2"/>
  <c r="I495" i="2"/>
  <c r="L494" i="2"/>
  <c r="K494" i="2"/>
  <c r="K494" i="2" a="1"/>
  <c r="J494" i="2"/>
  <c r="I494" i="2"/>
  <c r="L493" i="2"/>
  <c r="K493" i="2"/>
  <c r="K493" i="2" a="1"/>
  <c r="J493" i="2"/>
  <c r="I493" i="2"/>
  <c r="L492" i="2"/>
  <c r="K492" i="2"/>
  <c r="K492" i="2" a="1"/>
  <c r="J492" i="2"/>
  <c r="I492" i="2"/>
  <c r="L491" i="2"/>
  <c r="K491" i="2"/>
  <c r="K491" i="2" a="1"/>
  <c r="J491" i="2"/>
  <c r="I491" i="2"/>
  <c r="L490" i="2"/>
  <c r="K490" i="2"/>
  <c r="K490" i="2" a="1"/>
  <c r="J490" i="2"/>
  <c r="I490" i="2"/>
  <c r="L489" i="2"/>
  <c r="K489" i="2"/>
  <c r="K489" i="2" a="1"/>
  <c r="J489" i="2"/>
  <c r="I489" i="2"/>
  <c r="L488" i="2"/>
  <c r="K488" i="2"/>
  <c r="K488" i="2" a="1"/>
  <c r="J488" i="2"/>
  <c r="I488" i="2"/>
  <c r="L487" i="2"/>
  <c r="K487" i="2"/>
  <c r="K487" i="2" a="1"/>
  <c r="J487" i="2"/>
  <c r="I487" i="2"/>
  <c r="L486" i="2"/>
  <c r="K486" i="2"/>
  <c r="K486" i="2" a="1"/>
  <c r="J486" i="2"/>
  <c r="I486" i="2"/>
  <c r="L485" i="2"/>
  <c r="K485" i="2"/>
  <c r="K485" i="2" a="1"/>
  <c r="J485" i="2"/>
  <c r="I485" i="2"/>
  <c r="L484" i="2"/>
  <c r="K484" i="2"/>
  <c r="K484" i="2" a="1"/>
  <c r="J484" i="2"/>
  <c r="I484" i="2"/>
  <c r="L483" i="2"/>
  <c r="K483" i="2"/>
  <c r="K483" i="2" a="1"/>
  <c r="J483" i="2"/>
  <c r="I483" i="2"/>
  <c r="L482" i="2"/>
  <c r="K482" i="2"/>
  <c r="K482" i="2" a="1"/>
  <c r="J482" i="2"/>
  <c r="I482" i="2"/>
  <c r="L481" i="2"/>
  <c r="K481" i="2"/>
  <c r="K481" i="2" a="1"/>
  <c r="J481" i="2"/>
  <c r="I481" i="2"/>
  <c r="L480" i="2"/>
  <c r="K480" i="2"/>
  <c r="K480" i="2" a="1"/>
  <c r="J480" i="2"/>
  <c r="I480" i="2"/>
  <c r="L479" i="2"/>
  <c r="K479" i="2"/>
  <c r="K479" i="2" a="1"/>
  <c r="J479" i="2"/>
  <c r="I479" i="2"/>
  <c r="L478" i="2"/>
  <c r="K478" i="2"/>
  <c r="K478" i="2" a="1"/>
  <c r="J478" i="2"/>
  <c r="I478" i="2"/>
  <c r="L477" i="2"/>
  <c r="K477" i="2"/>
  <c r="K477" i="2" a="1"/>
  <c r="J477" i="2"/>
  <c r="I477" i="2"/>
  <c r="L476" i="2"/>
  <c r="K476" i="2"/>
  <c r="K476" i="2" a="1"/>
  <c r="J476" i="2"/>
  <c r="I476" i="2"/>
  <c r="L475" i="2"/>
  <c r="K475" i="2"/>
  <c r="K475" i="2" a="1"/>
  <c r="J475" i="2"/>
  <c r="I475" i="2"/>
  <c r="L474" i="2"/>
  <c r="K474" i="2"/>
  <c r="K474" i="2" a="1"/>
  <c r="J474" i="2"/>
  <c r="I474" i="2"/>
  <c r="L473" i="2"/>
  <c r="K473" i="2"/>
  <c r="K473" i="2" a="1"/>
  <c r="J473" i="2"/>
  <c r="I473" i="2"/>
  <c r="L472" i="2"/>
  <c r="K472" i="2"/>
  <c r="K472" i="2" a="1"/>
  <c r="J472" i="2"/>
  <c r="I472" i="2"/>
  <c r="L471" i="2"/>
  <c r="K471" i="2"/>
  <c r="K471" i="2" a="1"/>
  <c r="J471" i="2"/>
  <c r="I471" i="2"/>
  <c r="L470" i="2"/>
  <c r="K470" i="2"/>
  <c r="K470" i="2" a="1"/>
  <c r="J470" i="2"/>
  <c r="I470" i="2"/>
  <c r="L469" i="2"/>
  <c r="K469" i="2"/>
  <c r="K469" i="2" a="1"/>
  <c r="J469" i="2"/>
  <c r="I469" i="2"/>
  <c r="L468" i="2"/>
  <c r="K468" i="2"/>
  <c r="K468" i="2" a="1"/>
  <c r="J468" i="2"/>
  <c r="I468" i="2"/>
  <c r="L467" i="2"/>
  <c r="K467" i="2"/>
  <c r="K467" i="2" a="1"/>
  <c r="J467" i="2"/>
  <c r="I467" i="2"/>
  <c r="L466" i="2"/>
  <c r="K466" i="2"/>
  <c r="K466" i="2" a="1"/>
  <c r="J466" i="2"/>
  <c r="I466" i="2"/>
  <c r="L465" i="2"/>
  <c r="K465" i="2"/>
  <c r="K465" i="2" a="1"/>
  <c r="J465" i="2"/>
  <c r="I465" i="2"/>
  <c r="L464" i="2"/>
  <c r="K464" i="2"/>
  <c r="K464" i="2" a="1"/>
  <c r="J464" i="2"/>
  <c r="I464" i="2"/>
  <c r="L463" i="2"/>
  <c r="K463" i="2"/>
  <c r="K463" i="2" a="1"/>
  <c r="J463" i="2"/>
  <c r="I463" i="2"/>
  <c r="L462" i="2"/>
  <c r="K462" i="2"/>
  <c r="K462" i="2" a="1"/>
  <c r="J462" i="2"/>
  <c r="I462" i="2"/>
  <c r="L461" i="2"/>
  <c r="K461" i="2"/>
  <c r="K461" i="2" a="1"/>
  <c r="J461" i="2"/>
  <c r="I461" i="2"/>
  <c r="L460" i="2"/>
  <c r="K460" i="2"/>
  <c r="K460" i="2" a="1"/>
  <c r="J460" i="2"/>
  <c r="I460" i="2"/>
  <c r="L459" i="2"/>
  <c r="K459" i="2"/>
  <c r="K459" i="2" a="1"/>
  <c r="J459" i="2"/>
  <c r="I459" i="2"/>
  <c r="L458" i="2"/>
  <c r="K458" i="2"/>
  <c r="K458" i="2" a="1"/>
  <c r="J458" i="2"/>
  <c r="I458" i="2"/>
  <c r="L457" i="2"/>
  <c r="K457" i="2"/>
  <c r="K457" i="2" a="1"/>
  <c r="J457" i="2"/>
  <c r="I457" i="2"/>
  <c r="L456" i="2"/>
  <c r="K456" i="2"/>
  <c r="K456" i="2" a="1"/>
  <c r="J456" i="2"/>
  <c r="I456" i="2"/>
  <c r="L455" i="2"/>
  <c r="K455" i="2"/>
  <c r="K455" i="2" a="1"/>
  <c r="J455" i="2"/>
  <c r="I455" i="2"/>
  <c r="L454" i="2"/>
  <c r="K454" i="2"/>
  <c r="K454" i="2" a="1"/>
  <c r="J454" i="2"/>
  <c r="I454" i="2"/>
  <c r="L453" i="2"/>
  <c r="K453" i="2"/>
  <c r="K453" i="2" a="1"/>
  <c r="J453" i="2"/>
  <c r="I453" i="2"/>
  <c r="L452" i="2"/>
  <c r="K452" i="2"/>
  <c r="K452" i="2" a="1"/>
  <c r="J452" i="2"/>
  <c r="I452" i="2"/>
  <c r="L451" i="2"/>
  <c r="K451" i="2"/>
  <c r="K451" i="2" a="1"/>
  <c r="J451" i="2"/>
  <c r="I451" i="2"/>
  <c r="L450" i="2"/>
  <c r="K450" i="2"/>
  <c r="K450" i="2" a="1"/>
  <c r="J450" i="2"/>
  <c r="I450" i="2"/>
  <c r="L449" i="2"/>
  <c r="K449" i="2"/>
  <c r="K449" i="2" a="1"/>
  <c r="J449" i="2"/>
  <c r="I449" i="2"/>
  <c r="L448" i="2"/>
  <c r="K448" i="2"/>
  <c r="K448" i="2" a="1"/>
  <c r="J448" i="2"/>
  <c r="I448" i="2"/>
  <c r="L447" i="2"/>
  <c r="K447" i="2"/>
  <c r="K447" i="2" a="1"/>
  <c r="J447" i="2"/>
  <c r="I447" i="2"/>
  <c r="L446" i="2"/>
  <c r="K446" i="2"/>
  <c r="K446" i="2" a="1"/>
  <c r="J446" i="2"/>
  <c r="I446" i="2"/>
  <c r="L445" i="2"/>
  <c r="K445" i="2"/>
  <c r="K445" i="2" a="1"/>
  <c r="J445" i="2"/>
  <c r="I445" i="2"/>
  <c r="L444" i="2"/>
  <c r="K444" i="2"/>
  <c r="K444" i="2" a="1"/>
  <c r="J444" i="2"/>
  <c r="I444" i="2"/>
  <c r="L443" i="2"/>
  <c r="K443" i="2"/>
  <c r="K443" i="2" a="1"/>
  <c r="J443" i="2"/>
  <c r="I443" i="2"/>
  <c r="L442" i="2"/>
  <c r="K442" i="2"/>
  <c r="K442" i="2" a="1"/>
  <c r="J442" i="2"/>
  <c r="I442" i="2"/>
  <c r="L441" i="2"/>
  <c r="K441" i="2"/>
  <c r="K441" i="2" a="1"/>
  <c r="J441" i="2"/>
  <c r="I441" i="2"/>
  <c r="L440" i="2"/>
  <c r="K440" i="2"/>
  <c r="K440" i="2" a="1"/>
  <c r="J440" i="2"/>
  <c r="I440" i="2"/>
  <c r="L439" i="2"/>
  <c r="K439" i="2"/>
  <c r="K439" i="2" a="1"/>
  <c r="J439" i="2"/>
  <c r="I439" i="2"/>
  <c r="L438" i="2"/>
  <c r="K438" i="2"/>
  <c r="K438" i="2" a="1"/>
  <c r="J438" i="2"/>
  <c r="I438" i="2"/>
  <c r="L437" i="2"/>
  <c r="K437" i="2"/>
  <c r="K437" i="2" a="1"/>
  <c r="J437" i="2"/>
  <c r="I437" i="2"/>
  <c r="L436" i="2"/>
  <c r="K436" i="2"/>
  <c r="K436" i="2" a="1"/>
  <c r="J436" i="2"/>
  <c r="I436" i="2"/>
  <c r="L435" i="2"/>
  <c r="K435" i="2"/>
  <c r="K435" i="2" a="1"/>
  <c r="J435" i="2"/>
  <c r="I435" i="2"/>
  <c r="L434" i="2"/>
  <c r="K434" i="2"/>
  <c r="K434" i="2" a="1"/>
  <c r="J434" i="2"/>
  <c r="I434" i="2"/>
  <c r="L433" i="2"/>
  <c r="K433" i="2"/>
  <c r="K433" i="2" a="1"/>
  <c r="J433" i="2"/>
  <c r="I433" i="2"/>
  <c r="L432" i="2"/>
  <c r="K432" i="2"/>
  <c r="K432" i="2" a="1"/>
  <c r="J432" i="2"/>
  <c r="I432" i="2"/>
  <c r="L431" i="2"/>
  <c r="K431" i="2"/>
  <c r="K431" i="2" a="1"/>
  <c r="J431" i="2"/>
  <c r="I431" i="2"/>
  <c r="L430" i="2"/>
  <c r="K430" i="2"/>
  <c r="K430" i="2" a="1"/>
  <c r="J430" i="2"/>
  <c r="I430" i="2"/>
  <c r="L429" i="2"/>
  <c r="K429" i="2"/>
  <c r="K429" i="2" a="1"/>
  <c r="J429" i="2"/>
  <c r="I429" i="2"/>
  <c r="L428" i="2"/>
  <c r="K428" i="2"/>
  <c r="K428" i="2" a="1"/>
  <c r="J428" i="2"/>
  <c r="I428" i="2"/>
  <c r="L427" i="2"/>
  <c r="K427" i="2"/>
  <c r="K427" i="2" a="1"/>
  <c r="J427" i="2"/>
  <c r="I427" i="2"/>
  <c r="L426" i="2"/>
  <c r="K426" i="2"/>
  <c r="K426" i="2" a="1"/>
  <c r="J426" i="2"/>
  <c r="I426" i="2"/>
  <c r="L425" i="2"/>
  <c r="K425" i="2"/>
  <c r="K425" i="2" a="1"/>
  <c r="J425" i="2"/>
  <c r="I425" i="2"/>
  <c r="L424" i="2"/>
  <c r="K424" i="2"/>
  <c r="K424" i="2" a="1"/>
  <c r="J424" i="2"/>
  <c r="I424" i="2"/>
  <c r="L423" i="2"/>
  <c r="K423" i="2"/>
  <c r="K423" i="2" a="1"/>
  <c r="J423" i="2"/>
  <c r="I423" i="2"/>
  <c r="L422" i="2"/>
  <c r="K422" i="2"/>
  <c r="K422" i="2" a="1"/>
  <c r="J422" i="2"/>
  <c r="I422" i="2"/>
  <c r="L421" i="2"/>
  <c r="K421" i="2"/>
  <c r="K421" i="2" a="1"/>
  <c r="J421" i="2"/>
  <c r="I421" i="2"/>
  <c r="L420" i="2"/>
  <c r="K420" i="2"/>
  <c r="K420" i="2" a="1"/>
  <c r="J420" i="2"/>
  <c r="I420" i="2"/>
  <c r="L419" i="2"/>
  <c r="K419" i="2"/>
  <c r="K419" i="2" a="1"/>
  <c r="J419" i="2"/>
  <c r="I419" i="2"/>
  <c r="L418" i="2"/>
  <c r="K418" i="2"/>
  <c r="K418" i="2" a="1"/>
  <c r="J418" i="2"/>
  <c r="I418" i="2"/>
  <c r="L417" i="2"/>
  <c r="K417" i="2"/>
  <c r="K417" i="2" a="1"/>
  <c r="J417" i="2"/>
  <c r="I417" i="2"/>
  <c r="L416" i="2"/>
  <c r="K416" i="2"/>
  <c r="K416" i="2" a="1"/>
  <c r="J416" i="2"/>
  <c r="I416" i="2"/>
  <c r="L415" i="2"/>
  <c r="K415" i="2"/>
  <c r="K415" i="2" a="1"/>
  <c r="J415" i="2"/>
  <c r="I415" i="2"/>
  <c r="L414" i="2"/>
  <c r="K414" i="2"/>
  <c r="K414" i="2" a="1"/>
  <c r="J414" i="2"/>
  <c r="I414" i="2"/>
  <c r="L413" i="2"/>
  <c r="K413" i="2"/>
  <c r="K413" i="2" a="1"/>
  <c r="J413" i="2"/>
  <c r="I413" i="2"/>
  <c r="L412" i="2"/>
  <c r="K412" i="2"/>
  <c r="K412" i="2" a="1"/>
  <c r="J412" i="2"/>
  <c r="I412" i="2"/>
  <c r="L411" i="2"/>
  <c r="K411" i="2"/>
  <c r="K411" i="2" a="1"/>
  <c r="J411" i="2"/>
  <c r="I411" i="2"/>
  <c r="L410" i="2"/>
  <c r="K410" i="2"/>
  <c r="K410" i="2" a="1"/>
  <c r="J410" i="2"/>
  <c r="I410" i="2"/>
  <c r="L409" i="2"/>
  <c r="K409" i="2"/>
  <c r="K409" i="2" a="1"/>
  <c r="J409" i="2"/>
  <c r="I409" i="2"/>
  <c r="L408" i="2"/>
  <c r="K408" i="2"/>
  <c r="K408" i="2" a="1"/>
  <c r="J408" i="2"/>
  <c r="I408" i="2"/>
  <c r="L407" i="2"/>
  <c r="K407" i="2"/>
  <c r="K407" i="2" a="1"/>
  <c r="J407" i="2"/>
  <c r="I407" i="2"/>
  <c r="L406" i="2"/>
  <c r="K406" i="2"/>
  <c r="K406" i="2" a="1"/>
  <c r="J406" i="2"/>
  <c r="I406" i="2"/>
  <c r="L405" i="2"/>
  <c r="K405" i="2"/>
  <c r="K405" i="2" a="1"/>
  <c r="J405" i="2"/>
  <c r="I405" i="2"/>
  <c r="L404" i="2"/>
  <c r="K404" i="2"/>
  <c r="K404" i="2" a="1"/>
  <c r="J404" i="2"/>
  <c r="I404" i="2"/>
  <c r="L403" i="2"/>
  <c r="K403" i="2"/>
  <c r="K403" i="2" a="1"/>
  <c r="J403" i="2"/>
  <c r="I403" i="2"/>
  <c r="L402" i="2"/>
  <c r="K402" i="2"/>
  <c r="K402" i="2" a="1"/>
  <c r="J402" i="2"/>
  <c r="I402" i="2"/>
  <c r="L401" i="2"/>
  <c r="K401" i="2"/>
  <c r="K401" i="2" a="1"/>
  <c r="J401" i="2"/>
  <c r="I401" i="2"/>
  <c r="L400" i="2"/>
  <c r="K400" i="2"/>
  <c r="K400" i="2" a="1"/>
  <c r="J400" i="2"/>
  <c r="I400" i="2"/>
  <c r="L399" i="2"/>
  <c r="K399" i="2"/>
  <c r="K399" i="2" a="1"/>
  <c r="J399" i="2"/>
  <c r="I399" i="2"/>
  <c r="L398" i="2"/>
  <c r="K398" i="2"/>
  <c r="K398" i="2" a="1"/>
  <c r="J398" i="2"/>
  <c r="I398" i="2"/>
  <c r="L397" i="2"/>
  <c r="K397" i="2"/>
  <c r="K397" i="2" a="1"/>
  <c r="J397" i="2"/>
  <c r="I397" i="2"/>
  <c r="L396" i="2"/>
  <c r="K396" i="2"/>
  <c r="K396" i="2" a="1"/>
  <c r="J396" i="2"/>
  <c r="I396" i="2"/>
  <c r="L395" i="2"/>
  <c r="K395" i="2"/>
  <c r="K395" i="2" a="1"/>
  <c r="J395" i="2"/>
  <c r="I395" i="2"/>
  <c r="L394" i="2"/>
  <c r="K394" i="2"/>
  <c r="K394" i="2" a="1"/>
  <c r="J394" i="2"/>
  <c r="I394" i="2"/>
  <c r="L393" i="2"/>
  <c r="K393" i="2"/>
  <c r="K393" i="2" a="1"/>
  <c r="J393" i="2"/>
  <c r="I393" i="2"/>
  <c r="L392" i="2"/>
  <c r="K392" i="2"/>
  <c r="K392" i="2" a="1"/>
  <c r="J392" i="2"/>
  <c r="I392" i="2"/>
  <c r="L391" i="2"/>
  <c r="K391" i="2"/>
  <c r="K391" i="2" a="1"/>
  <c r="J391" i="2"/>
  <c r="I391" i="2"/>
  <c r="L390" i="2"/>
  <c r="K390" i="2"/>
  <c r="K390" i="2" a="1"/>
  <c r="J390" i="2"/>
  <c r="I390" i="2"/>
  <c r="L389" i="2"/>
  <c r="K389" i="2"/>
  <c r="K389" i="2" a="1"/>
  <c r="J389" i="2"/>
  <c r="I389" i="2"/>
  <c r="L388" i="2"/>
  <c r="K388" i="2"/>
  <c r="K388" i="2" a="1"/>
  <c r="J388" i="2"/>
  <c r="I388" i="2"/>
  <c r="L387" i="2"/>
  <c r="K387" i="2"/>
  <c r="K387" i="2" a="1"/>
  <c r="J387" i="2"/>
  <c r="I387" i="2"/>
  <c r="L386" i="2"/>
  <c r="K386" i="2"/>
  <c r="K386" i="2" a="1"/>
  <c r="J386" i="2"/>
  <c r="I386" i="2"/>
  <c r="L385" i="2"/>
  <c r="K385" i="2"/>
  <c r="K385" i="2" a="1"/>
  <c r="J385" i="2"/>
  <c r="I385" i="2"/>
  <c r="L384" i="2"/>
  <c r="K384" i="2"/>
  <c r="K384" i="2" a="1"/>
  <c r="J384" i="2"/>
  <c r="I384" i="2"/>
  <c r="L383" i="2"/>
  <c r="K383" i="2"/>
  <c r="K383" i="2" a="1"/>
  <c r="J383" i="2"/>
  <c r="I383" i="2"/>
  <c r="L382" i="2"/>
  <c r="K382" i="2"/>
  <c r="K382" i="2" a="1"/>
  <c r="J382" i="2"/>
  <c r="I382" i="2"/>
  <c r="L381" i="2"/>
  <c r="K381" i="2"/>
  <c r="K381" i="2" a="1"/>
  <c r="J381" i="2"/>
  <c r="I381" i="2"/>
  <c r="L380" i="2"/>
  <c r="K380" i="2"/>
  <c r="K380" i="2" a="1"/>
  <c r="J380" i="2"/>
  <c r="I380" i="2"/>
  <c r="L379" i="2"/>
  <c r="K379" i="2"/>
  <c r="K379" i="2" a="1"/>
  <c r="J379" i="2"/>
  <c r="I379" i="2"/>
  <c r="L378" i="2"/>
  <c r="K378" i="2"/>
  <c r="K378" i="2" a="1"/>
  <c r="J378" i="2"/>
  <c r="I378" i="2"/>
  <c r="L377" i="2"/>
  <c r="K377" i="2"/>
  <c r="K377" i="2" a="1"/>
  <c r="J377" i="2"/>
  <c r="I377" i="2"/>
  <c r="L376" i="2"/>
  <c r="K376" i="2"/>
  <c r="K376" i="2" a="1"/>
  <c r="J376" i="2"/>
  <c r="I376" i="2"/>
  <c r="L375" i="2"/>
  <c r="K375" i="2"/>
  <c r="K375" i="2" a="1"/>
  <c r="J375" i="2"/>
  <c r="I375" i="2"/>
  <c r="L374" i="2"/>
  <c r="K374" i="2"/>
  <c r="K374" i="2" a="1"/>
  <c r="J374" i="2"/>
  <c r="I374" i="2"/>
  <c r="L373" i="2"/>
  <c r="K373" i="2"/>
  <c r="K373" i="2" a="1"/>
  <c r="J373" i="2"/>
  <c r="I373" i="2"/>
  <c r="L372" i="2"/>
  <c r="K372" i="2"/>
  <c r="K372" i="2" a="1"/>
  <c r="J372" i="2"/>
  <c r="I372" i="2"/>
  <c r="L371" i="2"/>
  <c r="K371" i="2"/>
  <c r="K371" i="2" a="1"/>
  <c r="J371" i="2"/>
  <c r="I371" i="2"/>
  <c r="L370" i="2"/>
  <c r="K370" i="2"/>
  <c r="K370" i="2" a="1"/>
  <c r="J370" i="2"/>
  <c r="I370" i="2"/>
  <c r="L369" i="2"/>
  <c r="K369" i="2"/>
  <c r="K369" i="2" a="1"/>
  <c r="J369" i="2"/>
  <c r="I369" i="2"/>
  <c r="L368" i="2"/>
  <c r="K368" i="2"/>
  <c r="K368" i="2" a="1"/>
  <c r="J368" i="2"/>
  <c r="I368" i="2"/>
  <c r="L367" i="2"/>
  <c r="K367" i="2"/>
  <c r="K367" i="2" a="1"/>
  <c r="J367" i="2"/>
  <c r="I367" i="2"/>
  <c r="L366" i="2"/>
  <c r="K366" i="2"/>
  <c r="K366" i="2" a="1"/>
  <c r="J366" i="2"/>
  <c r="I366" i="2"/>
  <c r="L365" i="2"/>
  <c r="K365" i="2"/>
  <c r="K365" i="2" a="1"/>
  <c r="J365" i="2"/>
  <c r="I365" i="2"/>
  <c r="L364" i="2"/>
  <c r="K364" i="2"/>
  <c r="K364" i="2" a="1"/>
  <c r="J364" i="2"/>
  <c r="I364" i="2"/>
  <c r="L363" i="2"/>
  <c r="K363" i="2"/>
  <c r="K363" i="2" a="1"/>
  <c r="J363" i="2"/>
  <c r="I363" i="2"/>
  <c r="L362" i="2"/>
  <c r="K362" i="2"/>
  <c r="K362" i="2" a="1"/>
  <c r="J362" i="2"/>
  <c r="I362" i="2"/>
  <c r="L361" i="2"/>
  <c r="K361" i="2"/>
  <c r="K361" i="2" a="1"/>
  <c r="J361" i="2"/>
  <c r="I361" i="2"/>
  <c r="L360" i="2"/>
  <c r="K360" i="2"/>
  <c r="K360" i="2" a="1"/>
  <c r="J360" i="2"/>
  <c r="I360" i="2"/>
  <c r="L359" i="2"/>
  <c r="K359" i="2"/>
  <c r="K359" i="2" a="1"/>
  <c r="J359" i="2"/>
  <c r="I359" i="2"/>
  <c r="L358" i="2"/>
  <c r="K358" i="2"/>
  <c r="K358" i="2" a="1"/>
  <c r="J358" i="2"/>
  <c r="I358" i="2"/>
  <c r="L357" i="2"/>
  <c r="K357" i="2"/>
  <c r="K357" i="2" a="1"/>
  <c r="J357" i="2"/>
  <c r="I357" i="2"/>
  <c r="L356" i="2"/>
  <c r="K356" i="2"/>
  <c r="K356" i="2" a="1"/>
  <c r="J356" i="2"/>
  <c r="I356" i="2"/>
  <c r="L355" i="2"/>
  <c r="K355" i="2"/>
  <c r="K355" i="2" a="1"/>
  <c r="J355" i="2"/>
  <c r="I355" i="2"/>
  <c r="L354" i="2"/>
  <c r="K354" i="2"/>
  <c r="K354" i="2" a="1"/>
  <c r="J354" i="2"/>
  <c r="I354" i="2"/>
  <c r="L353" i="2"/>
  <c r="K353" i="2"/>
  <c r="K353" i="2" a="1"/>
  <c r="J353" i="2"/>
  <c r="I353" i="2"/>
  <c r="L352" i="2"/>
  <c r="K352" i="2"/>
  <c r="K352" i="2" a="1"/>
  <c r="J352" i="2"/>
  <c r="I352" i="2"/>
  <c r="L351" i="2"/>
  <c r="K351" i="2"/>
  <c r="K351" i="2" a="1"/>
  <c r="J351" i="2"/>
  <c r="I351" i="2"/>
  <c r="L350" i="2"/>
  <c r="K350" i="2"/>
  <c r="K350" i="2" a="1"/>
  <c r="J350" i="2"/>
  <c r="I350" i="2"/>
  <c r="L349" i="2"/>
  <c r="K349" i="2"/>
  <c r="K349" i="2" a="1"/>
  <c r="J349" i="2"/>
  <c r="I349" i="2"/>
  <c r="L348" i="2"/>
  <c r="K348" i="2"/>
  <c r="K348" i="2" a="1"/>
  <c r="J348" i="2"/>
  <c r="I348" i="2"/>
  <c r="L347" i="2"/>
  <c r="K347" i="2"/>
  <c r="K347" i="2" a="1"/>
  <c r="J347" i="2"/>
  <c r="I347" i="2"/>
  <c r="L346" i="2"/>
  <c r="K346" i="2"/>
  <c r="K346" i="2" a="1"/>
  <c r="J346" i="2"/>
  <c r="I346" i="2"/>
  <c r="L345" i="2"/>
  <c r="K345" i="2"/>
  <c r="K345" i="2" a="1"/>
  <c r="J345" i="2"/>
  <c r="I345" i="2"/>
  <c r="L344" i="2"/>
  <c r="K344" i="2"/>
  <c r="K344" i="2" a="1"/>
  <c r="J344" i="2"/>
  <c r="I344" i="2"/>
  <c r="L343" i="2"/>
  <c r="K343" i="2"/>
  <c r="K343" i="2" a="1"/>
  <c r="J343" i="2"/>
  <c r="I343" i="2"/>
  <c r="L342" i="2"/>
  <c r="K342" i="2"/>
  <c r="K342" i="2" a="1"/>
  <c r="J342" i="2"/>
  <c r="I342" i="2"/>
  <c r="L341" i="2"/>
  <c r="K341" i="2"/>
  <c r="K341" i="2" a="1"/>
  <c r="J341" i="2"/>
  <c r="I341" i="2"/>
  <c r="L340" i="2"/>
  <c r="K340" i="2"/>
  <c r="K340" i="2" a="1"/>
  <c r="J340" i="2"/>
  <c r="I340" i="2"/>
  <c r="L339" i="2"/>
  <c r="K339" i="2"/>
  <c r="K339" i="2" a="1"/>
  <c r="J339" i="2"/>
  <c r="I339" i="2"/>
  <c r="L338" i="2"/>
  <c r="K338" i="2"/>
  <c r="K338" i="2" a="1"/>
  <c r="J338" i="2"/>
  <c r="I338" i="2"/>
  <c r="L337" i="2"/>
  <c r="K337" i="2"/>
  <c r="K337" i="2" a="1"/>
  <c r="J337" i="2"/>
  <c r="I337" i="2"/>
  <c r="L336" i="2"/>
  <c r="K336" i="2"/>
  <c r="K336" i="2" a="1"/>
  <c r="J336" i="2"/>
  <c r="I336" i="2"/>
  <c r="L335" i="2"/>
  <c r="K335" i="2"/>
  <c r="K335" i="2" a="1"/>
  <c r="J335" i="2"/>
  <c r="I335" i="2"/>
  <c r="L334" i="2"/>
  <c r="K334" i="2"/>
  <c r="K334" i="2" a="1"/>
  <c r="J334" i="2"/>
  <c r="I334" i="2"/>
  <c r="L333" i="2"/>
  <c r="K333" i="2"/>
  <c r="K333" i="2" a="1"/>
  <c r="J333" i="2"/>
  <c r="I333" i="2"/>
  <c r="L332" i="2"/>
  <c r="K332" i="2"/>
  <c r="K332" i="2" a="1"/>
  <c r="J332" i="2"/>
  <c r="I332" i="2"/>
  <c r="L331" i="2"/>
  <c r="K331" i="2"/>
  <c r="K331" i="2" a="1"/>
  <c r="J331" i="2"/>
  <c r="I331" i="2"/>
  <c r="L330" i="2"/>
  <c r="K330" i="2"/>
  <c r="K330" i="2" a="1"/>
  <c r="J330" i="2"/>
  <c r="I330" i="2"/>
  <c r="L329" i="2"/>
  <c r="K329" i="2"/>
  <c r="K329" i="2" a="1"/>
  <c r="J329" i="2"/>
  <c r="I329" i="2"/>
  <c r="L328" i="2"/>
  <c r="K328" i="2"/>
  <c r="K328" i="2" a="1"/>
  <c r="J328" i="2"/>
  <c r="I328" i="2"/>
  <c r="L327" i="2"/>
  <c r="K327" i="2"/>
  <c r="K327" i="2" a="1"/>
  <c r="J327" i="2"/>
  <c r="I327" i="2"/>
  <c r="L326" i="2"/>
  <c r="K326" i="2"/>
  <c r="K326" i="2" a="1"/>
  <c r="J326" i="2"/>
  <c r="I326" i="2"/>
  <c r="L325" i="2"/>
  <c r="K325" i="2"/>
  <c r="K325" i="2" a="1"/>
  <c r="J325" i="2"/>
  <c r="I325" i="2"/>
  <c r="L324" i="2"/>
  <c r="K324" i="2"/>
  <c r="K324" i="2" a="1"/>
  <c r="J324" i="2"/>
  <c r="I324" i="2"/>
  <c r="L323" i="2"/>
  <c r="K323" i="2"/>
  <c r="K323" i="2" a="1"/>
  <c r="J323" i="2"/>
  <c r="I323" i="2"/>
  <c r="L322" i="2"/>
  <c r="K322" i="2"/>
  <c r="K322" i="2" a="1"/>
  <c r="J322" i="2"/>
  <c r="I322" i="2"/>
  <c r="L321" i="2"/>
  <c r="K321" i="2"/>
  <c r="K321" i="2" a="1"/>
  <c r="J321" i="2"/>
  <c r="I321" i="2"/>
  <c r="L320" i="2"/>
  <c r="K320" i="2"/>
  <c r="K320" i="2" a="1"/>
  <c r="J320" i="2"/>
  <c r="I320" i="2"/>
  <c r="L319" i="2"/>
  <c r="K319" i="2"/>
  <c r="K319" i="2" a="1"/>
  <c r="J319" i="2"/>
  <c r="I319" i="2"/>
  <c r="L318" i="2"/>
  <c r="K318" i="2"/>
  <c r="K318" i="2" a="1"/>
  <c r="J318" i="2"/>
  <c r="I318" i="2"/>
  <c r="L317" i="2"/>
  <c r="K317" i="2"/>
  <c r="K317" i="2" a="1"/>
  <c r="J317" i="2"/>
  <c r="I317" i="2"/>
  <c r="L316" i="2"/>
  <c r="K316" i="2"/>
  <c r="K316" i="2" a="1"/>
  <c r="J316" i="2"/>
  <c r="I316" i="2"/>
  <c r="L315" i="2"/>
  <c r="K315" i="2"/>
  <c r="K315" i="2" a="1"/>
  <c r="J315" i="2"/>
  <c r="I315" i="2"/>
  <c r="L314" i="2"/>
  <c r="K314" i="2"/>
  <c r="K314" i="2" a="1"/>
  <c r="J314" i="2"/>
  <c r="I314" i="2"/>
  <c r="L313" i="2"/>
  <c r="K313" i="2"/>
  <c r="K313" i="2" a="1"/>
  <c r="J313" i="2"/>
  <c r="I313" i="2"/>
  <c r="L312" i="2"/>
  <c r="K312" i="2"/>
  <c r="K312" i="2" a="1"/>
  <c r="J312" i="2"/>
  <c r="I312" i="2"/>
  <c r="L311" i="2"/>
  <c r="K311" i="2"/>
  <c r="K311" i="2" a="1"/>
  <c r="J311" i="2"/>
  <c r="I311" i="2"/>
  <c r="L310" i="2"/>
  <c r="K310" i="2"/>
  <c r="K310" i="2" a="1"/>
  <c r="J310" i="2"/>
  <c r="I310" i="2"/>
  <c r="L309" i="2"/>
  <c r="K309" i="2"/>
  <c r="K309" i="2" a="1"/>
  <c r="J309" i="2"/>
  <c r="I309" i="2"/>
  <c r="L308" i="2"/>
  <c r="K308" i="2"/>
  <c r="K308" i="2" a="1"/>
  <c r="J308" i="2"/>
  <c r="I308" i="2"/>
  <c r="L307" i="2"/>
  <c r="K307" i="2"/>
  <c r="K307" i="2" a="1"/>
  <c r="J307" i="2"/>
  <c r="I307" i="2"/>
  <c r="L306" i="2"/>
  <c r="K306" i="2"/>
  <c r="K306" i="2" a="1"/>
  <c r="J306" i="2"/>
  <c r="I306" i="2"/>
  <c r="L305" i="2"/>
  <c r="K305" i="2"/>
  <c r="K305" i="2" a="1"/>
  <c r="J305" i="2"/>
  <c r="I305" i="2"/>
  <c r="L304" i="2"/>
  <c r="K304" i="2"/>
  <c r="K304" i="2" a="1"/>
  <c r="J304" i="2"/>
  <c r="I304" i="2"/>
  <c r="L303" i="2"/>
  <c r="K303" i="2"/>
  <c r="K303" i="2" a="1"/>
  <c r="J303" i="2"/>
  <c r="I303" i="2"/>
  <c r="L302" i="2"/>
  <c r="K302" i="2"/>
  <c r="K302" i="2" a="1"/>
  <c r="J302" i="2"/>
  <c r="I302" i="2"/>
  <c r="L301" i="2"/>
  <c r="K301" i="2"/>
  <c r="K301" i="2" a="1"/>
  <c r="J301" i="2"/>
  <c r="I301" i="2"/>
  <c r="L300" i="2"/>
  <c r="K300" i="2"/>
  <c r="K300" i="2" a="1"/>
  <c r="J300" i="2"/>
  <c r="I300" i="2"/>
  <c r="L299" i="2"/>
  <c r="K299" i="2"/>
  <c r="K299" i="2" a="1"/>
  <c r="J299" i="2"/>
  <c r="I299" i="2"/>
  <c r="L298" i="2"/>
  <c r="K298" i="2"/>
  <c r="K298" i="2" a="1"/>
  <c r="J298" i="2"/>
  <c r="I298" i="2"/>
  <c r="L297" i="2"/>
  <c r="K297" i="2"/>
  <c r="K297" i="2" a="1"/>
  <c r="J297" i="2"/>
  <c r="I297" i="2"/>
  <c r="L296" i="2"/>
  <c r="K296" i="2"/>
  <c r="K296" i="2" a="1"/>
  <c r="J296" i="2"/>
  <c r="I296" i="2"/>
  <c r="L295" i="2"/>
  <c r="K295" i="2"/>
  <c r="K295" i="2" a="1"/>
  <c r="J295" i="2"/>
  <c r="I295" i="2"/>
  <c r="L294" i="2"/>
  <c r="K294" i="2"/>
  <c r="K294" i="2" a="1"/>
  <c r="J294" i="2"/>
  <c r="I294" i="2"/>
  <c r="L293" i="2"/>
  <c r="K293" i="2"/>
  <c r="K293" i="2" a="1"/>
  <c r="J293" i="2"/>
  <c r="I293" i="2"/>
  <c r="L292" i="2"/>
  <c r="K292" i="2"/>
  <c r="K292" i="2" a="1"/>
  <c r="J292" i="2"/>
  <c r="I292" i="2"/>
  <c r="L291" i="2"/>
  <c r="K291" i="2"/>
  <c r="K291" i="2" a="1"/>
  <c r="J291" i="2"/>
  <c r="I291" i="2"/>
  <c r="L290" i="2"/>
  <c r="K290" i="2"/>
  <c r="K290" i="2" a="1"/>
  <c r="J290" i="2"/>
  <c r="I290" i="2"/>
  <c r="L289" i="2"/>
  <c r="K289" i="2"/>
  <c r="K289" i="2" a="1"/>
  <c r="J289" i="2"/>
  <c r="I289" i="2"/>
  <c r="L288" i="2"/>
  <c r="K288" i="2"/>
  <c r="K288" i="2" a="1"/>
  <c r="J288" i="2"/>
  <c r="I288" i="2"/>
  <c r="L287" i="2"/>
  <c r="K287" i="2"/>
  <c r="K287" i="2" a="1"/>
  <c r="J287" i="2"/>
  <c r="I287" i="2"/>
  <c r="L286" i="2"/>
  <c r="K286" i="2"/>
  <c r="K286" i="2" a="1"/>
  <c r="J286" i="2"/>
  <c r="I286" i="2"/>
  <c r="L285" i="2"/>
  <c r="K285" i="2"/>
  <c r="K285" i="2" a="1"/>
  <c r="J285" i="2"/>
  <c r="I285" i="2"/>
  <c r="L284" i="2"/>
  <c r="K284" i="2"/>
  <c r="K284" i="2" a="1"/>
  <c r="J284" i="2"/>
  <c r="I284" i="2"/>
  <c r="L283" i="2"/>
  <c r="K283" i="2"/>
  <c r="K283" i="2" a="1"/>
  <c r="J283" i="2"/>
  <c r="I283" i="2"/>
  <c r="L282" i="2"/>
  <c r="K282" i="2"/>
  <c r="K282" i="2" a="1"/>
  <c r="J282" i="2"/>
  <c r="I282" i="2"/>
  <c r="L281" i="2"/>
  <c r="K281" i="2"/>
  <c r="K281" i="2" a="1"/>
  <c r="J281" i="2"/>
  <c r="I281" i="2"/>
  <c r="L280" i="2"/>
  <c r="K280" i="2"/>
  <c r="K280" i="2" a="1"/>
  <c r="J280" i="2"/>
  <c r="I280" i="2"/>
  <c r="L279" i="2"/>
  <c r="K279" i="2"/>
  <c r="K279" i="2" a="1"/>
  <c r="J279" i="2"/>
  <c r="I279" i="2"/>
  <c r="L278" i="2"/>
  <c r="K278" i="2"/>
  <c r="K278" i="2" a="1"/>
  <c r="J278" i="2"/>
  <c r="I278" i="2"/>
  <c r="L277" i="2"/>
  <c r="K277" i="2"/>
  <c r="K277" i="2" a="1"/>
  <c r="J277" i="2"/>
  <c r="I277" i="2"/>
  <c r="L276" i="2"/>
  <c r="K276" i="2"/>
  <c r="K276" i="2" a="1"/>
  <c r="J276" i="2"/>
  <c r="I276" i="2"/>
  <c r="L275" i="2"/>
  <c r="K275" i="2"/>
  <c r="K275" i="2" a="1"/>
  <c r="J275" i="2"/>
  <c r="I275" i="2"/>
  <c r="L274" i="2"/>
  <c r="K274" i="2"/>
  <c r="K274" i="2" a="1"/>
  <c r="J274" i="2"/>
  <c r="I274" i="2"/>
  <c r="L273" i="2"/>
  <c r="K273" i="2"/>
  <c r="K273" i="2" a="1"/>
  <c r="J273" i="2"/>
  <c r="I273" i="2"/>
  <c r="L272" i="2"/>
  <c r="K272" i="2"/>
  <c r="K272" i="2" a="1"/>
  <c r="J272" i="2"/>
  <c r="I272" i="2"/>
  <c r="L271" i="2"/>
  <c r="K271" i="2"/>
  <c r="K271" i="2" a="1"/>
  <c r="J271" i="2"/>
  <c r="I271" i="2"/>
  <c r="L270" i="2"/>
  <c r="K270" i="2"/>
  <c r="K270" i="2" a="1"/>
  <c r="J270" i="2"/>
  <c r="I270" i="2"/>
  <c r="L269" i="2"/>
  <c r="K269" i="2"/>
  <c r="K269" i="2" a="1"/>
  <c r="J269" i="2"/>
  <c r="I269" i="2"/>
  <c r="L268" i="2"/>
  <c r="K268" i="2"/>
  <c r="K268" i="2" a="1"/>
  <c r="J268" i="2"/>
  <c r="I268" i="2"/>
  <c r="L267" i="2"/>
  <c r="K267" i="2"/>
  <c r="K267" i="2" a="1"/>
  <c r="J267" i="2"/>
  <c r="I267" i="2"/>
  <c r="L266" i="2"/>
  <c r="K266" i="2"/>
  <c r="K266" i="2" a="1"/>
  <c r="J266" i="2"/>
  <c r="I266" i="2"/>
  <c r="L265" i="2"/>
  <c r="K265" i="2"/>
  <c r="K265" i="2" a="1"/>
  <c r="J265" i="2"/>
  <c r="I265" i="2"/>
  <c r="L264" i="2"/>
  <c r="K264" i="2"/>
  <c r="K264" i="2" a="1"/>
  <c r="J264" i="2"/>
  <c r="I264" i="2"/>
  <c r="L263" i="2"/>
  <c r="K263" i="2"/>
  <c r="K263" i="2" a="1"/>
  <c r="J263" i="2"/>
  <c r="I263" i="2"/>
  <c r="L262" i="2"/>
  <c r="K262" i="2"/>
  <c r="K262" i="2" a="1"/>
  <c r="J262" i="2"/>
  <c r="I262" i="2"/>
  <c r="L261" i="2"/>
  <c r="K261" i="2"/>
  <c r="K261" i="2" a="1"/>
  <c r="J261" i="2"/>
  <c r="I261" i="2"/>
  <c r="L260" i="2"/>
  <c r="K260" i="2"/>
  <c r="K260" i="2" a="1"/>
  <c r="J260" i="2"/>
  <c r="I260" i="2"/>
  <c r="L259" i="2"/>
  <c r="K259" i="2"/>
  <c r="K259" i="2" a="1"/>
  <c r="J259" i="2"/>
  <c r="I259" i="2"/>
  <c r="L258" i="2"/>
  <c r="K258" i="2"/>
  <c r="K258" i="2" a="1"/>
  <c r="J258" i="2"/>
  <c r="I258" i="2"/>
  <c r="L257" i="2"/>
  <c r="K257" i="2"/>
  <c r="K257" i="2" a="1"/>
  <c r="J257" i="2"/>
  <c r="I257" i="2"/>
  <c r="L256" i="2"/>
  <c r="K256" i="2"/>
  <c r="K256" i="2" a="1"/>
  <c r="J256" i="2"/>
  <c r="I256" i="2"/>
  <c r="L255" i="2"/>
  <c r="K255" i="2"/>
  <c r="K255" i="2" a="1"/>
  <c r="J255" i="2"/>
  <c r="I255" i="2"/>
  <c r="L254" i="2"/>
  <c r="K254" i="2"/>
  <c r="K254" i="2" a="1"/>
  <c r="J254" i="2"/>
  <c r="I254" i="2"/>
  <c r="L253" i="2"/>
  <c r="K253" i="2"/>
  <c r="K253" i="2" a="1"/>
  <c r="J253" i="2"/>
  <c r="I253" i="2"/>
  <c r="L252" i="2"/>
  <c r="K252" i="2"/>
  <c r="K252" i="2" a="1"/>
  <c r="J252" i="2"/>
  <c r="I252" i="2"/>
  <c r="L251" i="2"/>
  <c r="K251" i="2"/>
  <c r="K251" i="2" a="1"/>
  <c r="J251" i="2"/>
  <c r="I251" i="2"/>
  <c r="L250" i="2"/>
  <c r="K250" i="2"/>
  <c r="K250" i="2" a="1"/>
  <c r="J250" i="2"/>
  <c r="I250" i="2"/>
  <c r="L249" i="2"/>
  <c r="K249" i="2"/>
  <c r="K249" i="2" a="1"/>
  <c r="J249" i="2"/>
  <c r="I249" i="2"/>
  <c r="L248" i="2"/>
  <c r="K248" i="2"/>
  <c r="K248" i="2" a="1"/>
  <c r="J248" i="2"/>
  <c r="I248" i="2"/>
  <c r="L247" i="2"/>
  <c r="K247" i="2"/>
  <c r="K247" i="2" a="1"/>
  <c r="J247" i="2"/>
  <c r="I247" i="2"/>
  <c r="L246" i="2"/>
  <c r="K246" i="2"/>
  <c r="K246" i="2" a="1"/>
  <c r="J246" i="2"/>
  <c r="I246" i="2"/>
  <c r="L245" i="2"/>
  <c r="K245" i="2"/>
  <c r="K245" i="2" a="1"/>
  <c r="J245" i="2"/>
  <c r="I245" i="2"/>
  <c r="L244" i="2"/>
  <c r="K244" i="2"/>
  <c r="K244" i="2" a="1"/>
  <c r="J244" i="2"/>
  <c r="I244" i="2"/>
  <c r="L243" i="2"/>
  <c r="K243" i="2"/>
  <c r="K243" i="2" a="1"/>
  <c r="J243" i="2"/>
  <c r="I243" i="2"/>
  <c r="L242" i="2"/>
  <c r="K242" i="2"/>
  <c r="K242" i="2" a="1"/>
  <c r="J242" i="2"/>
  <c r="I242" i="2"/>
  <c r="L241" i="2"/>
  <c r="K241" i="2"/>
  <c r="K241" i="2" a="1"/>
  <c r="J241" i="2"/>
  <c r="I241" i="2"/>
  <c r="L240" i="2"/>
  <c r="K240" i="2"/>
  <c r="K240" i="2" a="1"/>
  <c r="J240" i="2"/>
  <c r="I240" i="2"/>
  <c r="L239" i="2"/>
  <c r="K239" i="2"/>
  <c r="K239" i="2" a="1"/>
  <c r="J239" i="2"/>
  <c r="I239" i="2"/>
  <c r="L238" i="2"/>
  <c r="K238" i="2"/>
  <c r="K238" i="2" a="1"/>
  <c r="J238" i="2"/>
  <c r="I238" i="2"/>
  <c r="L237" i="2"/>
  <c r="K237" i="2"/>
  <c r="K237" i="2" a="1"/>
  <c r="J237" i="2"/>
  <c r="I237" i="2"/>
  <c r="L236" i="2"/>
  <c r="K236" i="2"/>
  <c r="K236" i="2" a="1"/>
  <c r="J236" i="2"/>
  <c r="I236" i="2"/>
  <c r="L235" i="2"/>
  <c r="K235" i="2"/>
  <c r="K235" i="2" a="1"/>
  <c r="J235" i="2"/>
  <c r="I235" i="2"/>
  <c r="L234" i="2"/>
  <c r="K234" i="2"/>
  <c r="K234" i="2" a="1"/>
  <c r="J234" i="2"/>
  <c r="I234" i="2"/>
  <c r="L233" i="2"/>
  <c r="K233" i="2"/>
  <c r="K233" i="2" a="1"/>
  <c r="J233" i="2"/>
  <c r="I233" i="2"/>
  <c r="L232" i="2"/>
  <c r="K232" i="2"/>
  <c r="K232" i="2" a="1"/>
  <c r="J232" i="2"/>
  <c r="I232" i="2"/>
  <c r="L231" i="2"/>
  <c r="K231" i="2"/>
  <c r="K231" i="2" a="1"/>
  <c r="J231" i="2"/>
  <c r="I231" i="2"/>
  <c r="L230" i="2"/>
  <c r="K230" i="2"/>
  <c r="K230" i="2" a="1"/>
  <c r="J230" i="2"/>
  <c r="I230" i="2"/>
  <c r="L229" i="2"/>
  <c r="K229" i="2"/>
  <c r="K229" i="2" a="1"/>
  <c r="J229" i="2"/>
  <c r="I229" i="2"/>
  <c r="L228" i="2"/>
  <c r="K228" i="2"/>
  <c r="K228" i="2" a="1"/>
  <c r="J228" i="2"/>
  <c r="I228" i="2"/>
  <c r="L227" i="2"/>
  <c r="K227" i="2"/>
  <c r="K227" i="2" a="1"/>
  <c r="J227" i="2"/>
  <c r="I227" i="2"/>
  <c r="L226" i="2"/>
  <c r="K226" i="2"/>
  <c r="K226" i="2" a="1"/>
  <c r="J226" i="2"/>
  <c r="I226" i="2"/>
  <c r="L225" i="2"/>
  <c r="K225" i="2"/>
  <c r="K225" i="2" a="1"/>
  <c r="J225" i="2"/>
  <c r="I225" i="2"/>
  <c r="L224" i="2"/>
  <c r="K224" i="2"/>
  <c r="K224" i="2" a="1"/>
  <c r="J224" i="2"/>
  <c r="I224" i="2"/>
  <c r="L223" i="2"/>
  <c r="K223" i="2"/>
  <c r="K223" i="2" a="1"/>
  <c r="J223" i="2"/>
  <c r="I223" i="2"/>
  <c r="L222" i="2"/>
  <c r="K222" i="2"/>
  <c r="K222" i="2" a="1"/>
  <c r="J222" i="2"/>
  <c r="I222" i="2"/>
  <c r="L221" i="2"/>
  <c r="K221" i="2"/>
  <c r="K221" i="2" a="1"/>
  <c r="J221" i="2"/>
  <c r="I221" i="2"/>
  <c r="L220" i="2"/>
  <c r="K220" i="2"/>
  <c r="K220" i="2" a="1"/>
  <c r="J220" i="2"/>
  <c r="I220" i="2"/>
  <c r="L219" i="2"/>
  <c r="K219" i="2"/>
  <c r="K219" i="2" a="1"/>
  <c r="J219" i="2"/>
  <c r="I219" i="2"/>
  <c r="L218" i="2"/>
  <c r="K218" i="2"/>
  <c r="K218" i="2" a="1"/>
  <c r="J218" i="2"/>
  <c r="I218" i="2"/>
  <c r="L217" i="2"/>
  <c r="K217" i="2"/>
  <c r="K217" i="2" a="1"/>
  <c r="J217" i="2"/>
  <c r="I217" i="2"/>
  <c r="L216" i="2"/>
  <c r="K216" i="2"/>
  <c r="K216" i="2" a="1"/>
  <c r="J216" i="2"/>
  <c r="I216" i="2"/>
  <c r="L215" i="2"/>
  <c r="K215" i="2"/>
  <c r="K215" i="2" a="1"/>
  <c r="J215" i="2"/>
  <c r="I215" i="2"/>
  <c r="L214" i="2"/>
  <c r="K214" i="2"/>
  <c r="K214" i="2" a="1"/>
  <c r="J214" i="2"/>
  <c r="I214" i="2"/>
  <c r="L213" i="2"/>
  <c r="K213" i="2"/>
  <c r="K213" i="2" a="1"/>
  <c r="J213" i="2"/>
  <c r="I213" i="2"/>
  <c r="L212" i="2"/>
  <c r="K212" i="2"/>
  <c r="K212" i="2" a="1"/>
  <c r="J212" i="2"/>
  <c r="I212" i="2"/>
  <c r="L211" i="2"/>
  <c r="K211" i="2"/>
  <c r="K211" i="2" a="1"/>
  <c r="J211" i="2"/>
  <c r="I211" i="2"/>
  <c r="L210" i="2"/>
  <c r="K210" i="2"/>
  <c r="K210" i="2" a="1"/>
  <c r="J210" i="2"/>
  <c r="I210" i="2"/>
  <c r="L209" i="2"/>
  <c r="K209" i="2"/>
  <c r="K209" i="2" a="1"/>
  <c r="J209" i="2"/>
  <c r="I209" i="2"/>
  <c r="L208" i="2"/>
  <c r="K208" i="2"/>
  <c r="K208" i="2" a="1"/>
  <c r="J208" i="2"/>
  <c r="I208" i="2"/>
  <c r="L207" i="2"/>
  <c r="K207" i="2"/>
  <c r="K207" i="2" a="1"/>
  <c r="J207" i="2"/>
  <c r="I207" i="2"/>
  <c r="L206" i="2"/>
  <c r="K206" i="2"/>
  <c r="K206" i="2" a="1"/>
  <c r="J206" i="2"/>
  <c r="I206" i="2"/>
  <c r="L205" i="2"/>
  <c r="K205" i="2"/>
  <c r="K205" i="2" a="1"/>
  <c r="J205" i="2"/>
  <c r="I205" i="2"/>
  <c r="L204" i="2"/>
  <c r="K204" i="2"/>
  <c r="K204" i="2" a="1"/>
  <c r="J204" i="2"/>
  <c r="I204" i="2"/>
  <c r="L203" i="2"/>
  <c r="K203" i="2"/>
  <c r="K203" i="2" a="1"/>
  <c r="J203" i="2"/>
  <c r="I203" i="2"/>
  <c r="L202" i="2"/>
  <c r="K202" i="2"/>
  <c r="K202" i="2" a="1"/>
  <c r="J202" i="2"/>
  <c r="I202" i="2"/>
  <c r="L201" i="2"/>
  <c r="K201" i="2"/>
  <c r="K201" i="2" a="1"/>
  <c r="J201" i="2"/>
  <c r="I201" i="2"/>
  <c r="L200" i="2"/>
  <c r="K200" i="2"/>
  <c r="K200" i="2" a="1"/>
  <c r="J200" i="2"/>
  <c r="I200" i="2"/>
  <c r="L199" i="2"/>
  <c r="K199" i="2"/>
  <c r="K199" i="2" a="1"/>
  <c r="J199" i="2"/>
  <c r="I199" i="2"/>
  <c r="L198" i="2"/>
  <c r="K198" i="2"/>
  <c r="K198" i="2" a="1"/>
  <c r="J198" i="2"/>
  <c r="I198" i="2"/>
  <c r="L197" i="2"/>
  <c r="K197" i="2"/>
  <c r="K197" i="2" a="1"/>
  <c r="J197" i="2"/>
  <c r="I197" i="2"/>
  <c r="L196" i="2"/>
  <c r="K196" i="2"/>
  <c r="K196" i="2" a="1"/>
  <c r="J196" i="2"/>
  <c r="I196" i="2"/>
  <c r="L195" i="2"/>
  <c r="K195" i="2"/>
  <c r="K195" i="2" a="1"/>
  <c r="J195" i="2"/>
  <c r="I195" i="2"/>
  <c r="L194" i="2"/>
  <c r="K194" i="2"/>
  <c r="K194" i="2" a="1"/>
  <c r="J194" i="2"/>
  <c r="I194" i="2"/>
  <c r="L193" i="2"/>
  <c r="K193" i="2"/>
  <c r="K193" i="2" a="1"/>
  <c r="J193" i="2"/>
  <c r="I193" i="2"/>
  <c r="L192" i="2"/>
  <c r="K192" i="2"/>
  <c r="K192" i="2" a="1"/>
  <c r="J192" i="2"/>
  <c r="I192" i="2"/>
  <c r="L191" i="2"/>
  <c r="K191" i="2"/>
  <c r="K191" i="2" a="1"/>
  <c r="J191" i="2"/>
  <c r="I191" i="2"/>
  <c r="L190" i="2"/>
  <c r="K190" i="2"/>
  <c r="K190" i="2" a="1"/>
  <c r="J190" i="2"/>
  <c r="I190" i="2"/>
  <c r="L189" i="2"/>
  <c r="K189" i="2"/>
  <c r="K189" i="2" a="1"/>
  <c r="J189" i="2"/>
  <c r="I189" i="2"/>
  <c r="L188" i="2"/>
  <c r="K188" i="2"/>
  <c r="K188" i="2" a="1"/>
  <c r="J188" i="2"/>
  <c r="I188" i="2"/>
  <c r="L187" i="2"/>
  <c r="K187" i="2"/>
  <c r="K187" i="2" a="1"/>
  <c r="J187" i="2"/>
  <c r="I187" i="2"/>
  <c r="L186" i="2"/>
  <c r="K186" i="2"/>
  <c r="K186" i="2" a="1"/>
  <c r="J186" i="2"/>
  <c r="I186" i="2"/>
  <c r="L185" i="2"/>
  <c r="K185" i="2"/>
  <c r="K185" i="2" a="1"/>
  <c r="J185" i="2"/>
  <c r="I185" i="2"/>
  <c r="L184" i="2"/>
  <c r="K184" i="2"/>
  <c r="K184" i="2" a="1"/>
  <c r="J184" i="2"/>
  <c r="I184" i="2"/>
  <c r="L183" i="2"/>
  <c r="K183" i="2"/>
  <c r="K183" i="2" a="1"/>
  <c r="J183" i="2"/>
  <c r="I183" i="2"/>
  <c r="L182" i="2"/>
  <c r="K182" i="2"/>
  <c r="K182" i="2" a="1"/>
  <c r="J182" i="2"/>
  <c r="I182" i="2"/>
  <c r="L181" i="2"/>
  <c r="K181" i="2"/>
  <c r="K181" i="2" a="1"/>
  <c r="J181" i="2"/>
  <c r="I181" i="2"/>
  <c r="L180" i="2"/>
  <c r="K180" i="2"/>
  <c r="K180" i="2" a="1"/>
  <c r="J180" i="2"/>
  <c r="I180" i="2"/>
  <c r="L179" i="2"/>
  <c r="K179" i="2"/>
  <c r="K179" i="2" a="1"/>
  <c r="J179" i="2"/>
  <c r="I179" i="2"/>
  <c r="L178" i="2"/>
  <c r="K178" i="2"/>
  <c r="K178" i="2" a="1"/>
  <c r="J178" i="2"/>
  <c r="I178" i="2"/>
  <c r="L177" i="2"/>
  <c r="K177" i="2"/>
  <c r="K177" i="2" a="1"/>
  <c r="J177" i="2"/>
  <c r="I177" i="2"/>
  <c r="L176" i="2"/>
  <c r="K176" i="2"/>
  <c r="K176" i="2" a="1"/>
  <c r="J176" i="2"/>
  <c r="I176" i="2"/>
  <c r="L175" i="2"/>
  <c r="K175" i="2"/>
  <c r="K175" i="2" a="1"/>
  <c r="J175" i="2"/>
  <c r="I175" i="2"/>
  <c r="L174" i="2"/>
  <c r="K174" i="2"/>
  <c r="K174" i="2" a="1"/>
  <c r="J174" i="2"/>
  <c r="I174" i="2"/>
  <c r="L173" i="2"/>
  <c r="K173" i="2"/>
  <c r="K173" i="2" a="1"/>
  <c r="J173" i="2"/>
  <c r="I173" i="2"/>
  <c r="L172" i="2"/>
  <c r="K172" i="2"/>
  <c r="K172" i="2" a="1"/>
  <c r="J172" i="2"/>
  <c r="I172" i="2"/>
  <c r="L171" i="2"/>
  <c r="K171" i="2"/>
  <c r="K171" i="2" a="1"/>
  <c r="J171" i="2"/>
  <c r="I171" i="2"/>
  <c r="L170" i="2"/>
  <c r="K170" i="2"/>
  <c r="K170" i="2" a="1"/>
  <c r="J170" i="2"/>
  <c r="I170" i="2"/>
  <c r="L169" i="2"/>
  <c r="K169" i="2"/>
  <c r="K169" i="2" a="1"/>
  <c r="J169" i="2"/>
  <c r="I169" i="2"/>
  <c r="L168" i="2"/>
  <c r="K168" i="2"/>
  <c r="K168" i="2" a="1"/>
  <c r="J168" i="2"/>
  <c r="I168" i="2"/>
  <c r="L167" i="2"/>
  <c r="K167" i="2"/>
  <c r="K167" i="2" a="1"/>
  <c r="J167" i="2"/>
  <c r="I167" i="2"/>
  <c r="L166" i="2"/>
  <c r="K166" i="2"/>
  <c r="K166" i="2" a="1"/>
  <c r="J166" i="2"/>
  <c r="I166" i="2"/>
  <c r="L165" i="2"/>
  <c r="K165" i="2"/>
  <c r="K165" i="2" a="1"/>
  <c r="J165" i="2"/>
  <c r="I165" i="2"/>
  <c r="L164" i="2"/>
  <c r="K164" i="2"/>
  <c r="K164" i="2" a="1"/>
  <c r="J164" i="2"/>
  <c r="I164" i="2"/>
  <c r="L163" i="2"/>
  <c r="K163" i="2"/>
  <c r="K163" i="2" a="1"/>
  <c r="J163" i="2"/>
  <c r="I163" i="2"/>
  <c r="L162" i="2"/>
  <c r="K162" i="2"/>
  <c r="K162" i="2" a="1"/>
  <c r="J162" i="2"/>
  <c r="I162" i="2"/>
  <c r="L161" i="2"/>
  <c r="K161" i="2"/>
  <c r="K161" i="2" a="1"/>
  <c r="J161" i="2"/>
  <c r="I161" i="2"/>
  <c r="L160" i="2"/>
  <c r="K160" i="2"/>
  <c r="K160" i="2" a="1"/>
  <c r="J160" i="2"/>
  <c r="I160" i="2"/>
  <c r="L159" i="2"/>
  <c r="K159" i="2"/>
  <c r="K159" i="2" a="1"/>
  <c r="J159" i="2"/>
  <c r="I159" i="2"/>
  <c r="L158" i="2"/>
  <c r="K158" i="2"/>
  <c r="K158" i="2" a="1"/>
  <c r="J158" i="2"/>
  <c r="I158" i="2"/>
  <c r="L157" i="2"/>
  <c r="K157" i="2"/>
  <c r="K157" i="2" a="1"/>
  <c r="J157" i="2"/>
  <c r="I157" i="2"/>
  <c r="L156" i="2"/>
  <c r="K156" i="2"/>
  <c r="K156" i="2" a="1"/>
  <c r="J156" i="2"/>
  <c r="I156" i="2"/>
  <c r="L155" i="2"/>
  <c r="K155" i="2"/>
  <c r="K155" i="2" a="1"/>
  <c r="J155" i="2"/>
  <c r="I155" i="2"/>
  <c r="L154" i="2"/>
  <c r="K154" i="2"/>
  <c r="K154" i="2" a="1"/>
  <c r="J154" i="2"/>
  <c r="I154" i="2"/>
  <c r="L153" i="2"/>
  <c r="K153" i="2"/>
  <c r="K153" i="2" a="1"/>
  <c r="J153" i="2"/>
  <c r="I153" i="2"/>
  <c r="L152" i="2"/>
  <c r="K152" i="2"/>
  <c r="K152" i="2" a="1"/>
  <c r="J152" i="2"/>
  <c r="I152" i="2"/>
  <c r="L151" i="2"/>
  <c r="K151" i="2"/>
  <c r="K151" i="2" a="1"/>
  <c r="J151" i="2"/>
  <c r="I151" i="2"/>
  <c r="L150" i="2"/>
  <c r="K150" i="2"/>
  <c r="K150" i="2" a="1"/>
  <c r="J150" i="2"/>
  <c r="I150" i="2"/>
  <c r="L149" i="2"/>
  <c r="K149" i="2"/>
  <c r="K149" i="2" a="1"/>
  <c r="J149" i="2"/>
  <c r="I149" i="2"/>
  <c r="L148" i="2"/>
  <c r="K148" i="2"/>
  <c r="K148" i="2" a="1"/>
  <c r="J148" i="2"/>
  <c r="I148" i="2"/>
  <c r="L147" i="2"/>
  <c r="K147" i="2"/>
  <c r="K147" i="2" a="1"/>
  <c r="J147" i="2"/>
  <c r="I147" i="2"/>
  <c r="L146" i="2"/>
  <c r="K146" i="2"/>
  <c r="K146" i="2" a="1"/>
  <c r="J146" i="2"/>
  <c r="I146" i="2"/>
  <c r="L145" i="2"/>
  <c r="K145" i="2"/>
  <c r="K145" i="2" a="1"/>
  <c r="J145" i="2"/>
  <c r="I145" i="2"/>
  <c r="L144" i="2"/>
  <c r="K144" i="2"/>
  <c r="K144" i="2" a="1"/>
  <c r="J144" i="2"/>
  <c r="I144" i="2"/>
  <c r="L143" i="2"/>
  <c r="K143" i="2"/>
  <c r="K143" i="2" a="1"/>
  <c r="J143" i="2"/>
  <c r="I143" i="2"/>
  <c r="L142" i="2"/>
  <c r="K142" i="2"/>
  <c r="K142" i="2" a="1"/>
  <c r="J142" i="2"/>
  <c r="I142" i="2"/>
  <c r="L141" i="2"/>
  <c r="K141" i="2"/>
  <c r="K141" i="2" a="1"/>
  <c r="J141" i="2"/>
  <c r="I141" i="2"/>
  <c r="L140" i="2"/>
  <c r="K140" i="2"/>
  <c r="K140" i="2" a="1"/>
  <c r="J140" i="2"/>
  <c r="I140" i="2"/>
  <c r="L139" i="2"/>
  <c r="K139" i="2"/>
  <c r="K139" i="2" a="1"/>
  <c r="J139" i="2"/>
  <c r="I139" i="2"/>
  <c r="L138" i="2"/>
  <c r="K138" i="2"/>
  <c r="K138" i="2" a="1"/>
  <c r="J138" i="2"/>
  <c r="I138" i="2"/>
  <c r="L137" i="2"/>
  <c r="K137" i="2"/>
  <c r="K137" i="2" a="1"/>
  <c r="J137" i="2"/>
  <c r="I137" i="2"/>
  <c r="L136" i="2"/>
  <c r="K136" i="2"/>
  <c r="K136" i="2" a="1"/>
  <c r="J136" i="2"/>
  <c r="I136" i="2"/>
  <c r="L135" i="2"/>
  <c r="K135" i="2"/>
  <c r="K135" i="2" a="1"/>
  <c r="J135" i="2"/>
  <c r="I135" i="2"/>
  <c r="L134" i="2"/>
  <c r="K134" i="2"/>
  <c r="K134" i="2" a="1"/>
  <c r="J134" i="2"/>
  <c r="I134" i="2"/>
  <c r="L133" i="2"/>
  <c r="K133" i="2"/>
  <c r="K133" i="2" a="1"/>
  <c r="J133" i="2"/>
  <c r="I133" i="2"/>
  <c r="L132" i="2"/>
  <c r="K132" i="2"/>
  <c r="K132" i="2" a="1"/>
  <c r="J132" i="2"/>
  <c r="I132" i="2"/>
  <c r="L131" i="2"/>
  <c r="K131" i="2"/>
  <c r="K131" i="2" a="1"/>
  <c r="J131" i="2"/>
  <c r="I131" i="2"/>
  <c r="L130" i="2"/>
  <c r="K130" i="2"/>
  <c r="K130" i="2" a="1"/>
  <c r="J130" i="2"/>
  <c r="I130" i="2"/>
  <c r="L129" i="2"/>
  <c r="K129" i="2"/>
  <c r="K129" i="2" a="1"/>
  <c r="J129" i="2"/>
  <c r="I129" i="2"/>
  <c r="L128" i="2"/>
  <c r="K128" i="2"/>
  <c r="K128" i="2" a="1"/>
  <c r="J128" i="2"/>
  <c r="I128" i="2"/>
  <c r="L127" i="2"/>
  <c r="K127" i="2"/>
  <c r="K127" i="2" a="1"/>
  <c r="J127" i="2"/>
  <c r="I127" i="2"/>
  <c r="L126" i="2"/>
  <c r="K126" i="2"/>
  <c r="K126" i="2" a="1"/>
  <c r="J126" i="2"/>
  <c r="I126" i="2"/>
  <c r="L125" i="2"/>
  <c r="K125" i="2"/>
  <c r="K125" i="2" a="1"/>
  <c r="J125" i="2"/>
  <c r="I125" i="2"/>
  <c r="L124" i="2"/>
  <c r="K124" i="2"/>
  <c r="K124" i="2" a="1"/>
  <c r="J124" i="2"/>
  <c r="I124" i="2"/>
  <c r="L123" i="2"/>
  <c r="K123" i="2"/>
  <c r="K123" i="2" a="1"/>
  <c r="J123" i="2"/>
  <c r="I123" i="2"/>
  <c r="L122" i="2"/>
  <c r="K122" i="2"/>
  <c r="K122" i="2" a="1"/>
  <c r="J122" i="2"/>
  <c r="I122" i="2"/>
  <c r="L121" i="2"/>
  <c r="K121" i="2"/>
  <c r="K121" i="2" a="1"/>
  <c r="J121" i="2"/>
  <c r="I121" i="2"/>
  <c r="L120" i="2"/>
  <c r="K120" i="2"/>
  <c r="K120" i="2" a="1"/>
  <c r="J120" i="2"/>
  <c r="I120" i="2"/>
  <c r="L119" i="2"/>
  <c r="K119" i="2"/>
  <c r="K119" i="2" a="1"/>
  <c r="J119" i="2"/>
  <c r="I119" i="2"/>
  <c r="L118" i="2"/>
  <c r="K118" i="2"/>
  <c r="K118" i="2" a="1"/>
  <c r="J118" i="2"/>
  <c r="I118" i="2"/>
  <c r="L117" i="2"/>
  <c r="K117" i="2"/>
  <c r="K117" i="2" a="1"/>
  <c r="J117" i="2"/>
  <c r="I117" i="2"/>
  <c r="L116" i="2"/>
  <c r="K116" i="2"/>
  <c r="K116" i="2" a="1"/>
  <c r="J116" i="2"/>
  <c r="I116" i="2"/>
  <c r="L115" i="2"/>
  <c r="K115" i="2"/>
  <c r="K115" i="2" a="1"/>
  <c r="J115" i="2"/>
  <c r="I115" i="2"/>
  <c r="L114" i="2"/>
  <c r="K114" i="2"/>
  <c r="K114" i="2" a="1"/>
  <c r="J114" i="2"/>
  <c r="I114" i="2"/>
  <c r="L113" i="2"/>
  <c r="K113" i="2"/>
  <c r="K113" i="2" a="1"/>
  <c r="J113" i="2"/>
  <c r="I113" i="2"/>
  <c r="L112" i="2"/>
  <c r="K112" i="2"/>
  <c r="K112" i="2" a="1"/>
  <c r="J112" i="2"/>
  <c r="I112" i="2"/>
  <c r="L111" i="2"/>
  <c r="K111" i="2"/>
  <c r="K111" i="2" a="1"/>
  <c r="J111" i="2"/>
  <c r="I111" i="2"/>
  <c r="L110" i="2"/>
  <c r="K110" i="2"/>
  <c r="K110" i="2" a="1"/>
  <c r="J110" i="2"/>
  <c r="I110" i="2"/>
  <c r="L109" i="2"/>
  <c r="K109" i="2"/>
  <c r="K109" i="2" a="1"/>
  <c r="J109" i="2"/>
  <c r="I109" i="2"/>
  <c r="L108" i="2"/>
  <c r="K108" i="2"/>
  <c r="K108" i="2" a="1"/>
  <c r="J108" i="2"/>
  <c r="I108" i="2"/>
  <c r="L107" i="2"/>
  <c r="K107" i="2"/>
  <c r="K107" i="2" a="1"/>
  <c r="J107" i="2"/>
  <c r="I107" i="2"/>
  <c r="L106" i="2"/>
  <c r="K106" i="2"/>
  <c r="K106" i="2" a="1"/>
  <c r="J106" i="2"/>
  <c r="I106" i="2"/>
  <c r="L105" i="2"/>
  <c r="K105" i="2"/>
  <c r="K105" i="2" a="1"/>
  <c r="J105" i="2"/>
  <c r="I105" i="2"/>
  <c r="L104" i="2"/>
  <c r="K104" i="2"/>
  <c r="K104" i="2" a="1"/>
  <c r="J104" i="2"/>
  <c r="I104" i="2"/>
  <c r="L103" i="2"/>
  <c r="K103" i="2"/>
  <c r="K103" i="2" a="1"/>
  <c r="J103" i="2"/>
  <c r="I103" i="2"/>
  <c r="L102" i="2"/>
  <c r="K102" i="2"/>
  <c r="K102" i="2" a="1"/>
  <c r="J102" i="2"/>
  <c r="I102" i="2"/>
  <c r="L101" i="2"/>
  <c r="K101" i="2"/>
  <c r="K101" i="2" a="1"/>
  <c r="J101" i="2"/>
  <c r="I101" i="2"/>
  <c r="L100" i="2"/>
  <c r="K100" i="2"/>
  <c r="K100" i="2" a="1"/>
  <c r="J100" i="2"/>
  <c r="I100" i="2"/>
  <c r="L99" i="2"/>
  <c r="K99" i="2"/>
  <c r="K99" i="2" a="1"/>
  <c r="J99" i="2"/>
  <c r="I99" i="2"/>
  <c r="L98" i="2"/>
  <c r="K98" i="2"/>
  <c r="K98" i="2" a="1"/>
  <c r="J98" i="2"/>
  <c r="I98" i="2"/>
  <c r="L97" i="2"/>
  <c r="K97" i="2"/>
  <c r="K97" i="2" a="1"/>
  <c r="J97" i="2"/>
  <c r="I97" i="2"/>
  <c r="L96" i="2"/>
  <c r="K96" i="2"/>
  <c r="K96" i="2" a="1"/>
  <c r="J96" i="2"/>
  <c r="I96" i="2"/>
  <c r="L95" i="2"/>
  <c r="K95" i="2"/>
  <c r="K95" i="2" a="1"/>
  <c r="J95" i="2"/>
  <c r="I95" i="2"/>
  <c r="L94" i="2"/>
  <c r="K94" i="2"/>
  <c r="K94" i="2" a="1"/>
  <c r="J94" i="2"/>
  <c r="I94" i="2"/>
  <c r="L93" i="2"/>
  <c r="K93" i="2"/>
  <c r="K93" i="2" a="1"/>
  <c r="J93" i="2"/>
  <c r="I93" i="2"/>
  <c r="L92" i="2"/>
  <c r="K92" i="2"/>
  <c r="K92" i="2" a="1"/>
  <c r="J92" i="2"/>
  <c r="I92" i="2"/>
  <c r="L91" i="2"/>
  <c r="K91" i="2"/>
  <c r="K91" i="2" a="1"/>
  <c r="J91" i="2"/>
  <c r="I91" i="2"/>
  <c r="L90" i="2"/>
  <c r="K90" i="2"/>
  <c r="K90" i="2" a="1"/>
  <c r="J90" i="2"/>
  <c r="I90" i="2"/>
  <c r="L89" i="2"/>
  <c r="K89" i="2"/>
  <c r="K89" i="2" a="1"/>
  <c r="J89" i="2"/>
  <c r="I89" i="2"/>
  <c r="L88" i="2"/>
  <c r="K88" i="2"/>
  <c r="K88" i="2" a="1"/>
  <c r="J88" i="2"/>
  <c r="I88" i="2"/>
  <c r="L87" i="2"/>
  <c r="K87" i="2"/>
  <c r="K87" i="2" a="1"/>
  <c r="J87" i="2"/>
  <c r="I87" i="2"/>
  <c r="L86" i="2"/>
  <c r="K86" i="2"/>
  <c r="K86" i="2" a="1"/>
  <c r="J86" i="2"/>
  <c r="I86" i="2"/>
  <c r="L85" i="2"/>
  <c r="K85" i="2"/>
  <c r="K85" i="2" a="1"/>
  <c r="J85" i="2"/>
  <c r="I85" i="2"/>
  <c r="L84" i="2"/>
  <c r="K84" i="2"/>
  <c r="K84" i="2" a="1"/>
  <c r="J84" i="2"/>
  <c r="I84" i="2"/>
  <c r="L83" i="2"/>
  <c r="K83" i="2"/>
  <c r="K83" i="2" a="1"/>
  <c r="J83" i="2"/>
  <c r="I83" i="2"/>
  <c r="L82" i="2"/>
  <c r="K82" i="2"/>
  <c r="K82" i="2" a="1"/>
  <c r="J82" i="2"/>
  <c r="I82" i="2"/>
  <c r="L81" i="2"/>
  <c r="K81" i="2"/>
  <c r="K81" i="2" a="1"/>
  <c r="J81" i="2"/>
  <c r="I81" i="2"/>
  <c r="L80" i="2"/>
  <c r="K80" i="2"/>
  <c r="K80" i="2" a="1"/>
  <c r="J80" i="2"/>
  <c r="I80" i="2"/>
  <c r="L79" i="2"/>
  <c r="K79" i="2"/>
  <c r="K79" i="2" a="1"/>
  <c r="J79" i="2"/>
  <c r="I79" i="2"/>
  <c r="L78" i="2"/>
  <c r="K78" i="2"/>
  <c r="K78" i="2" a="1"/>
  <c r="J78" i="2"/>
  <c r="I78" i="2"/>
  <c r="L77" i="2"/>
  <c r="K77" i="2"/>
  <c r="K77" i="2" a="1"/>
  <c r="J77" i="2"/>
  <c r="I77" i="2"/>
  <c r="L76" i="2"/>
  <c r="K76" i="2"/>
  <c r="K76" i="2" a="1"/>
  <c r="J76" i="2"/>
  <c r="I76" i="2"/>
  <c r="L75" i="2"/>
  <c r="K75" i="2"/>
  <c r="K75" i="2" a="1"/>
  <c r="J75" i="2"/>
  <c r="I75" i="2"/>
  <c r="L74" i="2"/>
  <c r="K74" i="2"/>
  <c r="K74" i="2" a="1"/>
  <c r="J74" i="2"/>
  <c r="I74" i="2"/>
  <c r="L73" i="2"/>
  <c r="K73" i="2"/>
  <c r="K73" i="2" a="1"/>
  <c r="J73" i="2"/>
  <c r="I73" i="2"/>
  <c r="L72" i="2"/>
  <c r="K72" i="2"/>
  <c r="K72" i="2" a="1"/>
  <c r="J72" i="2"/>
  <c r="I72" i="2"/>
  <c r="L71" i="2"/>
  <c r="K71" i="2"/>
  <c r="K71" i="2" a="1"/>
  <c r="J71" i="2"/>
  <c r="I71" i="2"/>
  <c r="L70" i="2"/>
  <c r="K70" i="2"/>
  <c r="K70" i="2" a="1"/>
  <c r="J70" i="2"/>
  <c r="I70" i="2"/>
  <c r="L69" i="2"/>
  <c r="K69" i="2"/>
  <c r="K69" i="2" a="1"/>
  <c r="J69" i="2"/>
  <c r="I69" i="2"/>
  <c r="L68" i="2"/>
  <c r="K68" i="2"/>
  <c r="K68" i="2" a="1"/>
  <c r="J68" i="2"/>
  <c r="I68" i="2"/>
  <c r="L67" i="2"/>
  <c r="K67" i="2"/>
  <c r="K67" i="2" a="1"/>
  <c r="J67" i="2"/>
  <c r="I67" i="2"/>
  <c r="L66" i="2"/>
  <c r="K66" i="2"/>
  <c r="K66" i="2" a="1"/>
  <c r="J66" i="2"/>
  <c r="I66" i="2"/>
  <c r="L65" i="2"/>
  <c r="K65" i="2"/>
  <c r="K65" i="2" a="1"/>
  <c r="J65" i="2"/>
  <c r="I65" i="2"/>
  <c r="L64" i="2"/>
  <c r="K64" i="2"/>
  <c r="K64" i="2" a="1"/>
  <c r="J64" i="2"/>
  <c r="I64" i="2"/>
  <c r="L63" i="2"/>
  <c r="K63" i="2"/>
  <c r="K63" i="2" a="1"/>
  <c r="J63" i="2"/>
  <c r="I63" i="2"/>
  <c r="L62" i="2"/>
  <c r="K62" i="2"/>
  <c r="K62" i="2" a="1"/>
  <c r="J62" i="2"/>
  <c r="I62" i="2"/>
  <c r="L61" i="2"/>
  <c r="K61" i="2"/>
  <c r="K61" i="2" a="1"/>
  <c r="J61" i="2"/>
  <c r="I61" i="2"/>
  <c r="L60" i="2"/>
  <c r="K60" i="2"/>
  <c r="K60" i="2" a="1"/>
  <c r="J60" i="2"/>
  <c r="I60" i="2"/>
  <c r="L59" i="2"/>
  <c r="K59" i="2"/>
  <c r="K59" i="2" a="1"/>
  <c r="J59" i="2"/>
  <c r="I59" i="2"/>
  <c r="L58" i="2"/>
  <c r="K58" i="2"/>
  <c r="K58" i="2" a="1"/>
  <c r="J58" i="2"/>
  <c r="I58" i="2"/>
  <c r="L57" i="2"/>
  <c r="K57" i="2"/>
  <c r="K57" i="2" a="1"/>
  <c r="J57" i="2"/>
  <c r="I57" i="2"/>
  <c r="L56" i="2"/>
  <c r="K56" i="2"/>
  <c r="K56" i="2" a="1"/>
  <c r="J56" i="2"/>
  <c r="I56" i="2"/>
  <c r="L55" i="2"/>
  <c r="K55" i="2"/>
  <c r="K55" i="2" a="1"/>
  <c r="J55" i="2"/>
  <c r="I55" i="2"/>
  <c r="L54" i="2"/>
  <c r="K54" i="2"/>
  <c r="K54" i="2" a="1"/>
  <c r="J54" i="2"/>
  <c r="I54" i="2"/>
  <c r="L53" i="2"/>
  <c r="K53" i="2"/>
  <c r="K53" i="2" a="1"/>
  <c r="J53" i="2"/>
  <c r="I53" i="2"/>
  <c r="L52" i="2"/>
  <c r="K52" i="2"/>
  <c r="K52" i="2" a="1"/>
  <c r="J52" i="2"/>
  <c r="I52" i="2"/>
  <c r="L51" i="2"/>
  <c r="K51" i="2"/>
  <c r="K51" i="2" a="1"/>
  <c r="J51" i="2"/>
  <c r="I51" i="2"/>
  <c r="L50" i="2"/>
  <c r="K50" i="2"/>
  <c r="K50" i="2" a="1"/>
  <c r="J50" i="2"/>
  <c r="I50" i="2"/>
  <c r="L49" i="2"/>
  <c r="K49" i="2"/>
  <c r="K49" i="2" a="1"/>
  <c r="J49" i="2"/>
  <c r="I49" i="2"/>
  <c r="L48" i="2"/>
  <c r="K48" i="2"/>
  <c r="K48" i="2" a="1"/>
  <c r="J48" i="2"/>
  <c r="I48" i="2"/>
  <c r="L47" i="2"/>
  <c r="K47" i="2"/>
  <c r="K47" i="2" a="1"/>
  <c r="J47" i="2"/>
  <c r="I47" i="2"/>
  <c r="L46" i="2"/>
  <c r="K46" i="2"/>
  <c r="K46" i="2" a="1"/>
  <c r="J46" i="2"/>
  <c r="I46" i="2"/>
  <c r="L45" i="2"/>
  <c r="K45" i="2"/>
  <c r="K45" i="2" a="1"/>
  <c r="J45" i="2"/>
  <c r="I45" i="2"/>
  <c r="L44" i="2"/>
  <c r="K44" i="2"/>
  <c r="K44" i="2" a="1"/>
  <c r="J44" i="2"/>
  <c r="I44" i="2"/>
  <c r="L43" i="2"/>
  <c r="K43" i="2"/>
  <c r="K43" i="2" a="1"/>
  <c r="J43" i="2"/>
  <c r="I43" i="2"/>
  <c r="L42" i="2"/>
  <c r="K42" i="2"/>
  <c r="K42" i="2" a="1"/>
  <c r="J42" i="2"/>
  <c r="I42" i="2"/>
  <c r="L41" i="2"/>
  <c r="K41" i="2"/>
  <c r="K41" i="2" a="1"/>
  <c r="J41" i="2"/>
  <c r="I41" i="2"/>
  <c r="L40" i="2"/>
  <c r="K40" i="2"/>
  <c r="K40" i="2" a="1"/>
  <c r="J40" i="2"/>
  <c r="I40" i="2"/>
  <c r="L39" i="2"/>
  <c r="K39" i="2"/>
  <c r="K39" i="2" a="1"/>
  <c r="J39" i="2"/>
  <c r="I39" i="2"/>
  <c r="L38" i="2"/>
  <c r="K38" i="2"/>
  <c r="K38" i="2" a="1"/>
  <c r="J38" i="2"/>
  <c r="I38" i="2"/>
  <c r="L37" i="2"/>
  <c r="K37" i="2"/>
  <c r="K37" i="2" a="1"/>
  <c r="J37" i="2"/>
  <c r="I37" i="2"/>
  <c r="L36" i="2"/>
  <c r="K36" i="2"/>
  <c r="K36" i="2" a="1"/>
  <c r="J36" i="2"/>
  <c r="I36" i="2"/>
  <c r="L35" i="2"/>
  <c r="K35" i="2"/>
  <c r="K35" i="2" a="1"/>
  <c r="J35" i="2"/>
  <c r="I35" i="2"/>
  <c r="L34" i="2"/>
  <c r="K34" i="2"/>
  <c r="K34" i="2" a="1"/>
  <c r="J34" i="2"/>
  <c r="I34" i="2"/>
  <c r="L33" i="2"/>
  <c r="K33" i="2"/>
  <c r="K33" i="2" a="1"/>
  <c r="J33" i="2"/>
  <c r="I33" i="2"/>
  <c r="L32" i="2"/>
  <c r="K32" i="2"/>
  <c r="K32" i="2" a="1"/>
  <c r="J32" i="2"/>
  <c r="I32" i="2"/>
  <c r="L31" i="2"/>
  <c r="K31" i="2"/>
  <c r="K31" i="2" a="1"/>
  <c r="J31" i="2"/>
  <c r="I31" i="2"/>
  <c r="L30" i="2"/>
  <c r="K30" i="2"/>
  <c r="K30" i="2" a="1"/>
  <c r="J30" i="2"/>
  <c r="I30" i="2"/>
  <c r="L29" i="2"/>
  <c r="K29" i="2"/>
  <c r="K29" i="2" a="1"/>
  <c r="J29" i="2"/>
  <c r="I29" i="2"/>
  <c r="L28" i="2"/>
  <c r="K28" i="2"/>
  <c r="K28" i="2" a="1"/>
  <c r="J28" i="2"/>
  <c r="I28" i="2"/>
  <c r="L27" i="2"/>
  <c r="K27" i="2"/>
  <c r="K27" i="2" a="1"/>
  <c r="J27" i="2"/>
  <c r="I27" i="2"/>
  <c r="L26" i="2"/>
  <c r="K26" i="2"/>
  <c r="K26" i="2" a="1"/>
  <c r="J26" i="2"/>
  <c r="I26" i="2"/>
  <c r="L25" i="2"/>
  <c r="K25" i="2"/>
  <c r="K25" i="2" a="1"/>
  <c r="J25" i="2"/>
  <c r="I25" i="2"/>
  <c r="L24" i="2"/>
  <c r="K24" i="2"/>
  <c r="K24" i="2" a="1"/>
  <c r="J24" i="2"/>
  <c r="I24" i="2"/>
  <c r="L23" i="2"/>
  <c r="K23" i="2"/>
  <c r="K23" i="2" a="1"/>
  <c r="J23" i="2"/>
  <c r="I23" i="2"/>
  <c r="L22" i="2"/>
  <c r="K22" i="2"/>
  <c r="K22" i="2" a="1"/>
  <c r="J22" i="2"/>
  <c r="I22" i="2"/>
  <c r="L21" i="2"/>
  <c r="K21" i="2"/>
  <c r="K21" i="2" a="1"/>
  <c r="J21" i="2"/>
  <c r="I21" i="2"/>
  <c r="L20" i="2"/>
  <c r="K20" i="2"/>
  <c r="K20" i="2" a="1"/>
  <c r="J20" i="2"/>
  <c r="I20" i="2"/>
  <c r="L19" i="2"/>
  <c r="K19" i="2"/>
  <c r="K19" i="2" a="1"/>
  <c r="J19" i="2"/>
  <c r="I19" i="2"/>
  <c r="L18" i="2"/>
  <c r="K18" i="2"/>
  <c r="K18" i="2" a="1"/>
  <c r="J18" i="2"/>
  <c r="I18" i="2"/>
  <c r="L17" i="2"/>
  <c r="K17" i="2"/>
  <c r="K17" i="2" a="1"/>
  <c r="J17" i="2"/>
  <c r="I17" i="2"/>
  <c r="L16" i="2"/>
  <c r="K16" i="2"/>
  <c r="K16" i="2" a="1"/>
  <c r="J16" i="2"/>
  <c r="I16" i="2"/>
  <c r="L15" i="2"/>
  <c r="K15" i="2"/>
  <c r="K15" i="2" a="1"/>
  <c r="J15" i="2"/>
  <c r="I15" i="2"/>
  <c r="L14" i="2"/>
  <c r="K14" i="2"/>
  <c r="K14" i="2" a="1"/>
  <c r="J14" i="2"/>
  <c r="I14" i="2"/>
  <c r="L13" i="2"/>
  <c r="K13" i="2"/>
  <c r="K13" i="2" a="1"/>
  <c r="J13" i="2"/>
  <c r="I13" i="2"/>
  <c r="L12" i="2"/>
  <c r="K12" i="2"/>
  <c r="K12" i="2" a="1"/>
  <c r="J12" i="2"/>
  <c r="I12" i="2"/>
  <c r="L11" i="2"/>
  <c r="K11" i="2"/>
  <c r="K11" i="2" a="1"/>
  <c r="J11" i="2"/>
  <c r="I11" i="2"/>
  <c r="L10" i="2"/>
  <c r="K10" i="2"/>
  <c r="K10" i="2" a="1"/>
  <c r="J10" i="2"/>
  <c r="I10" i="2"/>
  <c r="L9" i="2"/>
  <c r="K9" i="2"/>
  <c r="K9" i="2" a="1"/>
  <c r="J9" i="2"/>
  <c r="I9" i="2"/>
  <c r="L8" i="2"/>
  <c r="K8" i="2"/>
  <c r="K8" i="2" a="1"/>
  <c r="J8" i="2"/>
  <c r="I8" i="2"/>
  <c r="L7" i="2"/>
  <c r="K7" i="2"/>
  <c r="K7" i="2" a="1"/>
  <c r="J7" i="2"/>
  <c r="I7" i="2"/>
  <c r="L6" i="2"/>
  <c r="K6" i="2"/>
  <c r="K6" i="2" a="1"/>
  <c r="J6" i="2"/>
  <c r="I6" i="2"/>
  <c r="L5" i="2"/>
  <c r="K5" i="2"/>
  <c r="K5" i="2" a="1"/>
  <c r="J5" i="2"/>
  <c r="I5" i="2"/>
  <c r="L4" i="2"/>
  <c r="K4" i="2"/>
  <c r="K4" i="2" a="1"/>
  <c r="J4" i="2"/>
  <c r="I4" i="2"/>
  <c r="J39" i="6" l="1" a="1"/>
  <c r="J39" i="6" s="1"/>
  <c r="I37" i="6" a="1"/>
  <c r="I37" i="6" s="1"/>
  <c r="I41" i="6" a="1"/>
  <c r="I41" i="6" s="1"/>
  <c r="I40" i="6" a="1"/>
  <c r="I40" i="6" s="1"/>
  <c r="I39" i="6" a="1"/>
  <c r="I39" i="6" s="1"/>
  <c r="I38" i="6" a="1"/>
  <c r="I38" i="6" s="1"/>
  <c r="J40" i="6" a="1"/>
  <c r="J40" i="6" s="1"/>
  <c r="J37" i="6" a="1"/>
  <c r="J37" i="6" s="1"/>
  <c r="J38" i="6" a="1"/>
  <c r="J38" i="6" s="1"/>
  <c r="J41" i="6" a="1"/>
  <c r="J41" i="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881528-BEB1-4046-AD16-253E79C3656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FFFCC3B-4742-4D61-837D-138817437907}" name="WorksheetConnection_sample-data-excel-portfolio-project.xlsx!calls" type="102" refreshedVersion="8" minRefreshableVersion="5">
    <extLst>
      <ext xmlns:x15="http://schemas.microsoft.com/office/spreadsheetml/2010/11/main" uri="{DE250136-89BD-433C-8126-D09CA5730AF9}">
        <x15:connection id="calls" autoDelete="1">
          <x15:rangePr sourceName="_xlcn.WorksheetConnection_sampledataexcelportfolioproject.xlsxcalls1"/>
        </x15:connection>
      </ext>
    </extLst>
  </connection>
  <connection id="3" xr16:uid="{17FA9A2D-D019-4AF1-95F4-633B5402201E}" name="WorksheetConnection_sample-data-excel-portfolio-project.xlsx!customers" type="102" refreshedVersion="8" minRefreshableVersion="5">
    <extLst>
      <ext xmlns:x15="http://schemas.microsoft.com/office/spreadsheetml/2010/11/main" uri="{DE250136-89BD-433C-8126-D09CA5730AF9}">
        <x15:connection id="customers">
          <x15:rangePr sourceName="_xlcn.WorksheetConnection_sampledataexcelportfolio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cellMetadata count="1">
    <bk>
      <rc t="1" v="0"/>
    </bk>
  </cellMetadata>
  <valueMetadata count="6">
    <bk>
      <rc t="2" v="0"/>
    </bk>
    <bk>
      <rc t="2" v="1"/>
    </bk>
    <bk>
      <rc t="2" v="2"/>
    </bk>
    <bk>
      <rc t="2" v="3"/>
    </bk>
    <bk>
      <rc t="2" v="4"/>
    </bk>
    <bk>
      <rc t="2" v="5"/>
    </bk>
  </valueMetadata>
</metadata>
</file>

<file path=xl/sharedStrings.xml><?xml version="1.0" encoding="utf-8"?>
<sst xmlns="http://schemas.openxmlformats.org/spreadsheetml/2006/main" count="3171" uniqueCount="1086">
  <si>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</si>
  <si>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</si>
  <si>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</si>
  <si>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</si>
  <si>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</si>
  <si>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</si>
  <si>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</si>
  <si>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</si>
  <si>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</si>
  <si>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</si>
  <si>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</si>
  <si>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</si>
  <si>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</si>
  <si>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</si>
  <si>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</si>
  <si>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</si>
  <si>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</si>
  <si>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</si>
  <si>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</si>
  <si>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</si>
  <si>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</si>
  <si>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</si>
  <si>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</si>
  <si>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</si>
  <si>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</si>
  <si>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</si>
  <si>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</si>
  <si>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</si>
  <si>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</si>
  <si>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</si>
  <si>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</si>
  <si>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</si>
  <si>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</si>
  <si>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</si>
  <si>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</si>
  <si>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</si>
  <si>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</si>
  <si>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</si>
  <si>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</si>
  <si>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</si>
  <si>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</si>
  <si>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</si>
  <si>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</si>
  <si>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</si>
  <si>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</si>
  <si>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</si>
  <si>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</si>
  <si>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</si>
  <si>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</si>
  <si>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</si>
  <si>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</si>
  <si>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</si>
  <si>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</si>
  <si>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</si>
  <si>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</si>
  <si>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</si>
  <si>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</si>
  <si>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</si>
  <si>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</si>
  <si>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</si>
  <si>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</si>
  <si>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</si>
  <si>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</si>
  <si>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</si>
  <si>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</si>
  <si>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</si>
  <si>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</si>
  <si>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</si>
  <si>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</si>
  <si>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</si>
  <si>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</si>
  <si>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</si>
  <si>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</si>
  <si>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</si>
  <si>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</si>
  <si>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</si>
  <si>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</si>
  <si>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</si>
  <si>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</si>
  <si>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</si>
  <si>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</si>
  <si>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</si>
  <si>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</si>
  <si>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</si>
  <si>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</si>
  <si>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</si>
  <si>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</si>
  <si>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</si>
  <si>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</si>
  <si>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</si>
  <si>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</si>
  <si>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</si>
  <si>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</si>
  <si>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</si>
  <si>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</si>
  <si>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</si>
  <si>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</si>
  <si>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</si>
  <si>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</si>
  <si>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</si>
  <si>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</si>
  <si>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</si>
  <si>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</si>
  <si>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</si>
  <si>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</si>
  <si>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</si>
  <si>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</si>
  <si>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</si>
  <si>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</si>
  <si>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</si>
  <si>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</si>
  <si>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</si>
  <si>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</si>
  <si>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</si>
  <si>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</si>
  <si>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</si>
  <si>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</si>
  <si>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</si>
  <si>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</si>
  <si>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</si>
  <si>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</si>
  <si>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</si>
  <si>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</si>
  <si>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</si>
  <si>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</si>
  <si>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</si>
  <si>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</si>
  <si>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</si>
  <si>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</si>
  <si>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</si>
  <si>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</si>
  <si>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</si>
  <si>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</si>
  <si>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</si>
  <si>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</si>
  <si>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</si>
  <si>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</si>
  <si>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</si>
  <si>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</si>
  <si>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</si>
  <si>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</si>
  <si>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</si>
  <si>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</si>
  <si>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</si>
  <si>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</si>
  <si>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</si>
  <si>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</si>
  <si>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</si>
  <si>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</si>
  <si>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</si>
  <si>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</si>
  <si>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</si>
  <si>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</si>
  <si>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</si>
  <si>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</si>
  <si>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</si>
  <si>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</si>
  <si>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</si>
  <si>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</si>
  <si>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</si>
  <si>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</si>
  <si>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</si>
  <si>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</si>
  <si>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</si>
  <si>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</si>
  <si>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</si>
  <si>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</si>
  <si>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</si>
  <si>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</si>
  <si>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</si>
  <si>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</si>
  <si>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</si>
  <si>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</si>
  <si>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</si>
  <si>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</si>
  <si>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</si>
  <si>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</si>
  <si>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</si>
  <si>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</si>
  <si>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</si>
  <si>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</si>
  <si>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</si>
  <si>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</si>
  <si>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</si>
  <si>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</si>
  <si>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</si>
  <si>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</si>
  <si>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</si>
  <si>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</si>
  <si>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</si>
  <si>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</si>
  <si>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</si>
  <si>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</si>
  <si>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</si>
  <si>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</si>
  <si>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</si>
  <si>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</si>
  <si>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</si>
  <si>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</si>
  <si>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</si>
  <si>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</si>
  <si>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</si>
  <si>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</si>
  <si>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</si>
  <si>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</si>
  <si>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</si>
  <si>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</si>
  <si>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</si>
  <si>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</si>
  <si>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</si>
  <si>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</si>
  <si>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</si>
  <si>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</si>
  <si>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</si>
  <si>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</si>
  <si>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</si>
  <si>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</si>
  <si>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</si>
  <si>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</si>
  <si>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</si>
  <si>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</si>
  <si>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</si>
  <si>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</si>
  <si>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</si>
  <si>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</si>
  <si>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</si>
  <si>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</si>
  <si>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</si>
  <si>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</si>
  <si>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</si>
  <si>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</si>
  <si>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</si>
  <si>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</si>
  <si>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</si>
  <si>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</si>
  <si>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</si>
  <si>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</si>
  <si>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</si>
  <si>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</si>
  <si>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</si>
  <si>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</si>
  <si>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</si>
  <si>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</si>
  <si>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</si>
  <si>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</si>
  <si>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</si>
  <si>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</si>
  <si>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</si>
  <si>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</si>
  <si>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</si>
  <si>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</si>
  <si>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</si>
  <si>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</si>
  <si>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</si>
  <si>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</si>
  <si>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</si>
  <si>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</si>
  <si>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</si>
  <si>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</si>
  <si>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</si>
  <si>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</si>
  <si>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</si>
  <si>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</si>
  <si>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</si>
  <si>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</si>
  <si>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</si>
  <si>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</si>
  <si>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</si>
  <si>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</si>
  <si>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</si>
  <si>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</si>
  <si>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</si>
  <si>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</si>
  <si>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</si>
  <si>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</si>
  <si>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</si>
  <si>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</si>
  <si>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</si>
  <si>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</si>
  <si>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</si>
  <si>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</si>
  <si>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</si>
  <si>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</si>
  <si>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</si>
  <si>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</si>
  <si>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</si>
  <si>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</si>
  <si>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</si>
  <si>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</si>
  <si>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</si>
  <si>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</si>
  <si>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</si>
  <si>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</si>
  <si>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</si>
  <si>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</si>
  <si>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</si>
  <si>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</si>
  <si>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</si>
  <si>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</si>
  <si>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</si>
  <si>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</si>
  <si>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</si>
  <si>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</si>
  <si>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</si>
  <si>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</si>
  <si>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</si>
  <si>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</si>
  <si>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</si>
  <si>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</si>
  <si>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</si>
  <si>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</si>
  <si>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</si>
  <si>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</si>
  <si>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</si>
  <si>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</si>
  <si>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</si>
  <si>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</si>
  <si>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</si>
  <si>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</si>
  <si>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</si>
  <si>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</si>
  <si>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</si>
  <si>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</si>
  <si>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</si>
  <si>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</si>
  <si>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</si>
  <si>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</si>
  <si>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</si>
  <si>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</si>
  <si>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</si>
  <si>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</si>
  <si>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</si>
  <si>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</si>
  <si>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</si>
  <si>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</si>
  <si>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</si>
  <si>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</si>
  <si>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</si>
  <si>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</si>
  <si>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</si>
  <si>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</si>
  <si>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</si>
  <si>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</si>
  <si>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</si>
  <si>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</si>
  <si>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</si>
  <si>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</si>
  <si>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</si>
  <si>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</si>
  <si>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</si>
  <si>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</si>
  <si>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</si>
  <si>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</si>
  <si>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</si>
  <si>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</si>
  <si>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</si>
  <si>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</si>
  <si>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</si>
  <si>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</si>
  <si>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</si>
  <si>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</si>
  <si>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</si>
  <si>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</si>
  <si>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</si>
  <si>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</si>
  <si>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</si>
  <si>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</si>
  <si>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</si>
  <si>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</si>
  <si>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</si>
  <si>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</si>
  <si>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</si>
  <si>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</si>
  <si>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</si>
  <si>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</si>
  <si>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</si>
  <si>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</si>
  <si>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</si>
  <si>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</si>
  <si>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</si>
  <si>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</si>
  <si>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</si>
  <si>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</si>
  <si>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</si>
  <si>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</si>
  <si>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</si>
  <si>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</si>
  <si>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</si>
  <si>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</si>
  <si>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</si>
  <si>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</si>
  <si>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</si>
  <si>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</si>
  <si>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</si>
  <si>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</si>
  <si>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</si>
  <si>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</si>
  <si>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</si>
  <si>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</si>
  <si>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</si>
  <si>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</si>
  <si>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</si>
  <si>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</si>
  <si>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</si>
  <si>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</si>
  <si>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</si>
  <si>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</si>
  <si>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</si>
  <si>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</si>
  <si>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</si>
  <si>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</si>
  <si>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</si>
  <si>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</si>
  <si>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</si>
  <si>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</si>
  <si>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</si>
  <si>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</si>
  <si>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</si>
  <si>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</si>
  <si>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</si>
  <si>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</si>
  <si>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</si>
  <si>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</si>
  <si>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</si>
  <si>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</si>
  <si>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</si>
  <si>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</si>
  <si>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</si>
  <si>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</si>
  <si>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</si>
  <si>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</si>
  <si>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</si>
  <si>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</si>
  <si>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</si>
  <si>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</si>
  <si>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</si>
  <si>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</si>
  <si>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</si>
  <si>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</si>
  <si>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</si>
  <si>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</si>
  <si>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</si>
  <si>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</si>
  <si>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</si>
  <si>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</si>
  <si>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</si>
  <si>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</si>
  <si>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</si>
  <si>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</si>
  <si>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</si>
  <si>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</si>
  <si>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</si>
  <si>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</si>
  <si>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</si>
  <si>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</si>
  <si>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</si>
  <si>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</si>
  <si>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</si>
  <si>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</si>
  <si>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</si>
  <si>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</si>
  <si>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</si>
  <si>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</si>
  <si>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</si>
  <si>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</si>
  <si>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</si>
  <si>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</si>
  <si>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</si>
  <si>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</si>
  <si>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</si>
  <si>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</si>
  <si>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</si>
  <si>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</si>
  <si>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</si>
  <si>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</si>
  <si>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</si>
  <si>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</si>
  <si>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</si>
  <si>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</si>
  <si>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</si>
  <si>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</si>
  <si>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</si>
  <si>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</si>
  <si>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</si>
  <si>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</si>
  <si>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</si>
  <si>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</si>
  <si>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</si>
  <si>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</si>
  <si>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</si>
  <si>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</si>
  <si>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</si>
  <si>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</si>
  <si>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</si>
  <si>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</si>
  <si>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</si>
  <si>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</si>
  <si>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</si>
  <si>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</si>
  <si>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</si>
  <si>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</si>
  <si>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</si>
  <si>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</si>
  <si>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</si>
  <si>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</si>
  <si>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</si>
  <si>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</si>
  <si>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</si>
  <si>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</si>
  <si>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</si>
  <si>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</si>
  <si>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</si>
  <si>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</si>
  <si>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</si>
  <si>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</si>
  <si>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</si>
  <si>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</si>
  <si>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</si>
  <si>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</si>
  <si>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</si>
  <si>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</si>
  <si>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</si>
  <si>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</si>
  <si>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</si>
  <si>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</si>
  <si>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</si>
  <si>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</si>
  <si>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</si>
  <si>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</si>
  <si>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</si>
  <si>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</si>
  <si>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</si>
  <si>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</si>
  <si>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</si>
  <si>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</si>
  <si>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</si>
  <si>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</si>
  <si>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</si>
  <si>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</si>
  <si>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</si>
  <si>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</si>
  <si>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</si>
  <si>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</si>
  <si>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</si>
  <si>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</si>
  <si>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</si>
  <si>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</si>
  <si>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</si>
  <si>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</si>
  <si>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</si>
  <si>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</si>
  <si>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</si>
  <si>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</si>
  <si>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</si>
  <si>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</si>
  <si>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</si>
  <si>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</si>
  <si>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</si>
  <si>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</si>
  <si>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</si>
  <si>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</si>
  <si>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</si>
  <si>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</si>
  <si>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</si>
  <si>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</si>
  <si>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</si>
  <si>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</si>
  <si>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</si>
  <si>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</si>
  <si>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</si>
  <si>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</si>
  <si>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</si>
  <si>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</si>
  <si>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</si>
  <si>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</si>
  <si>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</si>
  <si>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</si>
  <si>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</si>
  <si>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</si>
  <si>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</si>
  <si>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</si>
  <si>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</si>
  <si>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</si>
  <si>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</si>
  <si>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</si>
  <si>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</si>
  <si>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</si>
  <si>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</si>
  <si>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</si>
  <si>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</si>
  <si>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</si>
  <si>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</si>
  <si>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</si>
  <si>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</si>
  <si>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</si>
  <si>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</si>
  <si>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</si>
  <si>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</si>
  <si>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</si>
  <si>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</si>
  <si>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</si>
  <si>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</si>
  <si>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</si>
  <si>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</si>
  <si>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</si>
  <si>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</si>
  <si>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</si>
  <si>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</si>
  <si>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</si>
  <si>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</si>
  <si>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</si>
  <si>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</si>
  <si>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</si>
  <si>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</si>
  <si>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</si>
  <si>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</si>
  <si>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</si>
  <si>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</si>
  <si>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</si>
  <si>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</si>
  <si>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</si>
  <si>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</si>
  <si>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</si>
  <si>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</si>
  <si>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</si>
  <si>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</si>
  <si>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</si>
  <si>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</si>
  <si>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</si>
  <si>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</si>
  <si>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</si>
  <si>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</si>
  <si>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</si>
  <si>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</si>
  <si>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</si>
  <si>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</si>
  <si>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</si>
  <si>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</si>
  <si>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</si>
  <si>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</si>
  <si>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</si>
  <si>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</si>
  <si>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</si>
  <si>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</si>
  <si>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</si>
  <si>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</si>
  <si>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</si>
  <si>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</si>
  <si>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</si>
  <si>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</si>
  <si>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</si>
  <si>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</si>
  <si>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</si>
  <si>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</si>
  <si>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</si>
  <si>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</si>
  <si>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</si>
  <si>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</si>
  <si>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</si>
  <si>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</si>
  <si>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</si>
  <si>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</si>
  <si>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</si>
  <si>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</si>
  <si>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</si>
  <si>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</si>
  <si>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</si>
  <si>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</si>
  <si>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</si>
  <si>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</si>
  <si>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</si>
  <si>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</si>
  <si>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</si>
  <si>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</si>
  <si>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</si>
  <si>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</si>
  <si>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</si>
  <si>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</si>
  <si>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</si>
  <si>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</si>
  <si>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</si>
  <si>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</si>
  <si>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</si>
  <si>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</si>
  <si>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</si>
  <si>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</si>
  <si>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</si>
  <si>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</si>
  <si>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</si>
  <si>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</si>
  <si>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</si>
  <si>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</si>
  <si>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</si>
  <si>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</si>
  <si>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</si>
  <si>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</si>
  <si>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</si>
  <si>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</si>
  <si>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</si>
  <si>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</si>
  <si>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</si>
  <si>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</si>
  <si>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</si>
  <si>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</si>
  <si>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</si>
  <si>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</si>
  <si>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</si>
  <si>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</si>
  <si>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</si>
  <si>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</si>
  <si>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</si>
  <si>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</si>
  <si>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</si>
  <si>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</si>
  <si>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</si>
  <si>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</si>
  <si>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</si>
  <si>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</si>
  <si>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</si>
  <si>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</si>
  <si>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</si>
  <si>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</si>
  <si>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</si>
  <si>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</si>
  <si>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</si>
  <si>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</si>
  <si>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</si>
  <si>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</si>
  <si>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</si>
  <si>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</si>
  <si>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</si>
  <si>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</si>
  <si>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</si>
  <si>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</si>
  <si>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</si>
  <si>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</si>
  <si>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</si>
  <si>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</si>
  <si>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</si>
  <si>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</si>
  <si>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</si>
  <si>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</si>
  <si>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</si>
  <si>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</si>
  <si>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</si>
  <si>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</si>
  <si>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</si>
  <si>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</si>
  <si>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</si>
  <si>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</si>
  <si>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</si>
  <si>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</si>
  <si>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</si>
  <si>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</si>
  <si>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</si>
  <si>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</si>
  <si>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</si>
  <si>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</si>
  <si>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</si>
  <si>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</si>
  <si>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</si>
  <si>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</si>
  <si>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</si>
  <si>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</si>
  <si>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</si>
  <si>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</si>
  <si>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</si>
  <si>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</si>
  <si>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</si>
  <si>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</si>
  <si>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</si>
  <si>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</si>
  <si>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</si>
  <si>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</si>
  <si>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</si>
  <si>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</si>
  <si>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</si>
  <si>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</si>
  <si>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</si>
  <si>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</si>
  <si>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</si>
  <si>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</si>
  <si>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</si>
  <si>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</si>
  <si>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</si>
  <si>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</si>
  <si>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</si>
  <si>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</si>
  <si>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</si>
  <si>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</si>
  <si>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</si>
  <si>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</si>
  <si>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</si>
  <si>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</si>
  <si>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</si>
  <si>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</si>
  <si>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</si>
  <si>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</si>
  <si>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</si>
  <si>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</si>
  <si>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</si>
  <si>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</si>
  <si>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</si>
  <si>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</si>
  <si>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</si>
  <si>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</si>
  <si>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</si>
  <si>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</si>
  <si>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</si>
  <si>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</si>
  <si>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</si>
  <si>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</si>
  <si>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</si>
  <si>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</si>
  <si>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</si>
  <si>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</si>
  <si>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</si>
  <si>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</si>
  <si>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</si>
  <si>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</si>
  <si>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</si>
  <si>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</si>
  <si>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</si>
  <si>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</si>
  <si>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</si>
  <si>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</si>
  <si>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</si>
  <si>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</si>
  <si>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</si>
  <si>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</si>
  <si>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</si>
  <si>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</si>
  <si>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</si>
  <si>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</si>
  <si>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</si>
  <si>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</si>
  <si>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</si>
  <si>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</si>
  <si>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</si>
  <si>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</si>
  <si>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</si>
  <si>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</si>
  <si>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</si>
  <si>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</si>
  <si>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</si>
  <si>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</si>
  <si>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</si>
  <si>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</si>
  <si>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</si>
  <si>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</si>
  <si>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</si>
  <si>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</si>
  <si>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</si>
  <si>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</si>
  <si>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</si>
  <si>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</si>
  <si>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</si>
  <si>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</si>
  <si>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</si>
  <si>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</si>
  <si>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</si>
  <si>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</si>
  <si>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</si>
  <si>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</si>
  <si>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</si>
  <si>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</si>
  <si>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</si>
  <si>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</si>
  <si>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</si>
  <si>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</si>
  <si>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</si>
  <si>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</si>
  <si>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</si>
  <si>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</si>
  <si>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</si>
  <si>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</si>
  <si>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</si>
  <si>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</si>
  <si>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</si>
  <si>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</si>
  <si>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</si>
  <si>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</si>
  <si>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</si>
  <si>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</si>
  <si>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</si>
  <si>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</si>
  <si>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</si>
  <si>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</si>
  <si>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</si>
  <si>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</si>
  <si>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</si>
  <si>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</si>
  <si>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</si>
  <si>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</si>
  <si>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</si>
  <si>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</si>
  <si>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</si>
  <si>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</si>
  <si>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</si>
  <si>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</si>
  <si>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</si>
  <si>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</si>
  <si>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</si>
  <si>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</si>
  <si>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</si>
  <si>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</si>
  <si>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</si>
  <si>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</si>
  <si>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</si>
  <si>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</si>
  <si>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</si>
  <si>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</si>
  <si>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</si>
  <si>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</si>
  <si>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</si>
  <si>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</si>
  <si>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</si>
  <si>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</si>
  <si>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</si>
  <si>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</si>
  <si>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</si>
  <si>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</si>
  <si>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</si>
  <si>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</si>
  <si>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</si>
  <si>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</si>
  <si>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</si>
  <si>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</si>
  <si>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</si>
  <si>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</si>
  <si>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</si>
  <si>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</si>
  <si>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</si>
  <si>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</si>
  <si>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</si>
  <si>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</si>
  <si>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</si>
  <si>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</si>
  <si>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</si>
  <si>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</si>
  <si>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</si>
  <si>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</si>
  <si>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</si>
  <si>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</si>
  <si>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</si>
  <si>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</si>
  <si>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</si>
  <si>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</si>
  <si>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</si>
  <si>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</si>
  <si>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</si>
  <si>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</si>
  <si>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</si>
  <si>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</si>
  <si>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</si>
  <si>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</si>
  <si>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</si>
  <si>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</si>
  <si>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</si>
  <si>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</si>
  <si>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</si>
  <si>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</si>
  <si>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</si>
  <si>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</si>
  <si>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</si>
  <si>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</si>
  <si>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</si>
  <si>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</si>
  <si>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</si>
  <si>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</si>
  <si>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</si>
  <si>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</si>
  <si>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</si>
  <si>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</si>
  <si>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</si>
  <si>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</si>
  <si>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</si>
  <si>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</si>
  <si>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</si>
  <si>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</si>
  <si>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</si>
  <si>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</si>
  <si>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</si>
  <si>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</si>
  <si>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</si>
  <si>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</si>
  <si>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</si>
  <si>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</si>
  <si>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</si>
  <si>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</si>
  <si>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</si>
  <si>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</si>
  <si>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</si>
  <si>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</si>
  <si>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</si>
  <si>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</si>
  <si>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</si>
  <si>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</si>
  <si>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</si>
  <si>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</si>
  <si>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</si>
  <si>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</si>
  <si>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</si>
  <si>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</si>
  <si>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</si>
  <si>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</si>
  <si>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</si>
  <si>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</si>
  <si>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</si>
  <si>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</si>
  <si>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</si>
  <si>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</si>
  <si>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</si>
  <si>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</si>
  <si>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</si>
  <si>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</si>
  <si>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</si>
  <si>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</si>
  <si>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</si>
  <si>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</si>
  <si>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</si>
  <si>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</si>
  <si>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</si>
  <si>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</si>
  <si>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</si>
  <si>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</si>
  <si>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</si>
  <si>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</si>
  <si>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</si>
  <si>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</si>
  <si>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</si>
  <si>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</si>
  <si>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</si>
  <si>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</si>
  <si>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</si>
  <si>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</si>
  <si>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</si>
  <si>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</si>
  <si>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</si>
  <si>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</si>
  <si>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</si>
  <si>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</si>
  <si>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 xml:space="preserve"> </t>
  </si>
  <si>
    <t>Call Count</t>
  </si>
  <si>
    <t>Total Amount</t>
  </si>
  <si>
    <t>Total Duration</t>
  </si>
  <si>
    <t>Avg Rating</t>
  </si>
  <si>
    <t>5 Star Rating</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</si>
  <si>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</si>
  <si>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</si>
  <si>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</si>
  <si>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</si>
  <si>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</si>
  <si>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</si>
  <si>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</si>
  <si>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</si>
  <si>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</si>
  <si>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</si>
  <si>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</si>
  <si>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</si>
  <si>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</si>
  <si>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</si>
  <si>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</si>
  <si>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</si>
  <si>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</si>
  <si>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</si>
  <si>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</si>
  <si>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</si>
  <si>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</si>
  <si>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</si>
  <si>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Reps</t>
  </si>
  <si>
    <t>Calls</t>
  </si>
  <si>
    <t>Amount</t>
  </si>
  <si>
    <t>Sel Col</t>
  </si>
  <si>
    <t>Sel Am</t>
  </si>
  <si>
    <t>Column Labels</t>
  </si>
  <si>
    <t>Total</t>
  </si>
  <si>
    <t>Rep Summary</t>
  </si>
  <si>
    <t>% of call</t>
  </si>
  <si>
    <t>Call Rank</t>
  </si>
  <si>
    <t>Am Rank</t>
  </si>
  <si>
    <t>call</t>
  </si>
  <si>
    <t>am</t>
  </si>
  <si>
    <t>Labels:</t>
  </si>
  <si>
    <t>Image:</t>
  </si>
  <si>
    <t>CALL CENTRE REPORT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</si>
</sst>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0"/>
    <numFmt numFmtId="166" formatCode="\$#,##0;\(\$#,##0\);\$#,##0"/>
    <numFmt numFmtId="167" formatCode="\$#,###.0,&quot;K&quot;"/>
    <numFmt numFmtId="168" formatCode="[$$-409]#,##0"/>
  </numFmts>
  <fonts count="8" x14ac:knownFonts="1">
    <font>
      <sz val="11"/>
      <color theme="1"/>
      <name val="Calibri"/>
      <family val="2"/>
      <scheme val="minor"/>
    </font>
    <font>
      <b/>
      <sz val="11"/>
      <color theme="1"/>
      <name val="Calibri"/>
      <family val="2"/>
      <scheme val="minor"/>
    </font>
    <font>
      <sz val="8"/>
      <name val="Calibri"/>
      <family val="2"/>
      <scheme val="minor"/>
    </font>
    <font>
      <sz val="18"/>
      <color theme="1"/>
      <name val="Aptos ExtraBold"/>
      <family val="2"/>
    </font>
    <font>
      <sz val="11"/>
      <color theme="1"/>
      <name val="Calibri"/>
      <family val="2"/>
      <scheme val="minor"/>
    </font>
    <font>
      <sz val="12"/>
      <color theme="1"/>
      <name val="Calibri"/>
      <family val="2"/>
      <scheme val="minor"/>
    </font>
    <font>
      <sz val="11"/>
      <color theme="0" tint="-0.499984740745262"/>
      <name val="Calibri"/>
      <family val="2"/>
      <scheme val="minor"/>
    </font>
    <font>
      <b/>
      <sz val="26"/>
      <color theme="0" tint="-0.499984740745262"/>
      <name val="Calibri"/>
      <family val="2"/>
      <scheme val="minor"/>
    </font>
  </fonts>
  <fills count="5">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right/>
      <top style="thin">
        <color indexed="64"/>
      </top>
      <bottom/>
      <diagonal/>
    </border>
    <border>
      <left/>
      <right style="thin">
        <color indexed="64"/>
      </right>
      <top/>
      <bottom/>
      <diagonal/>
    </border>
  </borders>
  <cellStyleXfs count="2">
    <xf numFmtId="0" fontId="0" fillId="0" borderId="0"/>
    <xf numFmtId="9" fontId="4" fillId="0" borderId="0" applyFont="0" applyFill="0" applyBorder="0" applyAlignment="0" applyProtection="0"/>
  </cellStyleXfs>
  <cellXfs count="47">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3"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0" borderId="0" xfId="0" applyAlignment="1">
      <alignment horizontal="left" indent="1"/>
    </xf>
    <xf numFmtId="0" fontId="0" fillId="4" borderId="9" xfId="0" applyFill="1" applyBorder="1"/>
    <xf numFmtId="0" fontId="0" fillId="4" borderId="7" xfId="0" applyFill="1" applyBorder="1" applyAlignment="1">
      <alignment horizontal="center"/>
    </xf>
    <xf numFmtId="0" fontId="0" fillId="4" borderId="10" xfId="0" applyFill="1" applyBorder="1" applyAlignment="1">
      <alignment horizontal="center"/>
    </xf>
    <xf numFmtId="168" fontId="5" fillId="4" borderId="0" xfId="0" applyNumberFormat="1" applyFont="1" applyFill="1" applyAlignment="1">
      <alignment horizontal="center"/>
    </xf>
    <xf numFmtId="168" fontId="5" fillId="4" borderId="13" xfId="0" applyNumberFormat="1" applyFont="1" applyFill="1" applyBorder="1" applyAlignment="1">
      <alignment horizontal="center"/>
    </xf>
    <xf numFmtId="0" fontId="0" fillId="4" borderId="6" xfId="0" applyFill="1" applyBorder="1" applyAlignment="1">
      <alignment horizontal="center"/>
    </xf>
    <xf numFmtId="168" fontId="5" fillId="4" borderId="11" xfId="0" applyNumberFormat="1" applyFont="1" applyFill="1" applyBorder="1" applyAlignment="1">
      <alignment horizontal="center"/>
    </xf>
    <xf numFmtId="168" fontId="5" fillId="4" borderId="4" xfId="0" applyNumberFormat="1" applyFont="1" applyFill="1" applyBorder="1" applyAlignment="1">
      <alignment horizontal="center"/>
    </xf>
    <xf numFmtId="0" fontId="0" fillId="4" borderId="12" xfId="0" applyFill="1" applyBorder="1" applyAlignment="1">
      <alignment horizontal="center"/>
    </xf>
    <xf numFmtId="0" fontId="1" fillId="4" borderId="12" xfId="0" applyFont="1" applyFill="1" applyBorder="1" applyAlignment="1">
      <alignment horizontal="center" vertical="center"/>
    </xf>
    <xf numFmtId="0" fontId="1" fillId="4" borderId="7" xfId="0" applyFont="1" applyFill="1" applyBorder="1" applyAlignment="1">
      <alignment horizontal="center"/>
    </xf>
    <xf numFmtId="0" fontId="1" fillId="4" borderId="9" xfId="0" applyFont="1" applyFill="1" applyBorder="1" applyAlignment="1">
      <alignment horizontal="left"/>
    </xf>
    <xf numFmtId="0" fontId="1" fillId="4" borderId="10" xfId="0" applyFont="1" applyFill="1" applyBorder="1" applyAlignment="1">
      <alignment horizontal="left"/>
    </xf>
    <xf numFmtId="9" fontId="0" fillId="0" borderId="0" xfId="1" applyFont="1"/>
    <xf numFmtId="0" fontId="0" fillId="3" borderId="0" xfId="0" applyFill="1" applyAlignment="1">
      <alignment horizontal="left"/>
    </xf>
    <xf numFmtId="0" fontId="0" fillId="3" borderId="13" xfId="0" applyFill="1" applyBorder="1" applyAlignment="1">
      <alignment horizontal="left"/>
    </xf>
    <xf numFmtId="0" fontId="6" fillId="3" borderId="0" xfId="0" applyFont="1" applyFill="1"/>
    <xf numFmtId="0" fontId="6" fillId="3" borderId="13" xfId="0" applyFont="1" applyFill="1" applyBorder="1"/>
    <xf numFmtId="0" fontId="7" fillId="3" borderId="0" xfId="0" applyFont="1" applyFill="1" applyAlignment="1">
      <alignment horizontal="left" vertical="center"/>
    </xf>
  </cellXfs>
  <cellStyles count="2">
    <cellStyle name="Normal" xfId="0" builtinId="0"/>
    <cellStyle name="Percent" xfId="1" builtinId="5"/>
  </cellStyles>
  <dxfs count="18">
    <dxf>
      <fill>
        <patternFill>
          <bgColor theme="4" tint="0.79998168889431442"/>
        </patternFill>
      </fill>
      <border>
        <left style="thin">
          <color auto="1"/>
        </left>
        <right style="thin">
          <color auto="1"/>
        </right>
        <top style="thin">
          <color auto="1"/>
        </top>
        <bottom style="thin">
          <color auto="1"/>
        </bottom>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17"/>
    </tableStyle>
    <tableStyle name="SlicerStyleLight1 2" pivot="0" table="0" count="10" xr9:uid="{5234C3AD-FF5C-4996-92CC-F1854B95B6B1}">
      <tableStyleElement type="wholeTable" dxfId="16"/>
      <tableStyleElement type="headerRow" dxfId="15"/>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17/06/relationships/rdRichValueTypes" Target="richData/rdRichValueTypes.xml"/><Relationship Id="rId5" Type="http://schemas.openxmlformats.org/officeDocument/2006/relationships/pivotCacheDefinition" Target="pivotCache/pivotCacheDefinition1.xml"/><Relationship Id="rId15" Type="http://schemas.microsoft.com/office/2007/relationships/slicerCache" Target="slicerCaches/slicerCache1.xml"/><Relationship Id="rId23" Type="http://schemas.microsoft.com/office/2017/06/relationships/rdRichValueStructure" Target="richData/rdrichvaluestructure.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Amount</a:t>
            </a:r>
          </a:p>
        </c:rich>
      </c:tx>
      <c:layout>
        <c:manualLayout>
          <c:xMode val="edge"/>
          <c:yMode val="edge"/>
          <c:x val="8.7944190231514646E-2"/>
          <c:y val="1.27754337875001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Pivots!$H$37:$H$41</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43F-4553-AB95-3774301D7956}"/>
            </c:ext>
          </c:extLst>
        </c:ser>
        <c:ser>
          <c:idx val="1"/>
          <c:order val="1"/>
          <c:tx>
            <c:strRef>
              <c:f>Pivots!$J$36</c:f>
              <c:strCache>
                <c:ptCount val="1"/>
                <c:pt idx="0">
                  <c:v>Sel Am</c:v>
                </c:pt>
              </c:strCache>
            </c:strRef>
          </c:tx>
          <c:spPr>
            <a:gradFill>
              <a:gsLst>
                <a:gs pos="0">
                  <a:schemeClr val="accent1">
                    <a:lumMod val="75000"/>
                  </a:schemeClr>
                </a:gs>
                <a:gs pos="100000">
                  <a:schemeClr val="accent1"/>
                </a:gs>
              </a:gsLst>
              <a:lin ang="13500000" scaled="1"/>
            </a:gradFill>
            <a:ln>
              <a:noFill/>
            </a:ln>
            <a:effectLst/>
          </c:spPr>
          <c:invertIfNegative val="0"/>
          <c:val>
            <c:numRef>
              <c:f>Pivots!$J$37:$J$41</c:f>
              <c:numCache>
                <c:formatCode>General</c:formatCode>
                <c:ptCount val="5"/>
                <c:pt idx="0">
                  <c:v>18415</c:v>
                </c:pt>
                <c:pt idx="1">
                  <c:v>0</c:v>
                </c:pt>
                <c:pt idx="2">
                  <c:v>0</c:v>
                </c:pt>
                <c:pt idx="3">
                  <c:v>0</c:v>
                </c:pt>
                <c:pt idx="4">
                  <c:v>0</c:v>
                </c:pt>
              </c:numCache>
            </c:numRef>
          </c:val>
          <c:extLst>
            <c:ext xmlns:c16="http://schemas.microsoft.com/office/drawing/2014/chart" uri="{C3380CC4-5D6E-409C-BE32-E72D297353CC}">
              <c16:uniqueId val="{00000001-643F-4553-AB95-3774301D7956}"/>
            </c:ext>
          </c:extLst>
        </c:ser>
        <c:dLbls>
          <c:showLegendKey val="0"/>
          <c:showVal val="0"/>
          <c:showCatName val="0"/>
          <c:showSerName val="0"/>
          <c:showPercent val="0"/>
          <c:showBubbleSize val="0"/>
        </c:dLbls>
        <c:gapWidth val="25"/>
        <c:overlap val="100"/>
        <c:axId val="2116918880"/>
        <c:axId val="2116903520"/>
      </c:barChart>
      <c:catAx>
        <c:axId val="211691888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903520"/>
        <c:crosses val="autoZero"/>
        <c:auto val="1"/>
        <c:lblAlgn val="ctr"/>
        <c:lblOffset val="100"/>
        <c:noMultiLvlLbl val="0"/>
      </c:catAx>
      <c:valAx>
        <c:axId val="2116903520"/>
        <c:scaling>
          <c:orientation val="minMax"/>
        </c:scaling>
        <c:delete val="1"/>
        <c:axPos val="t"/>
        <c:numFmt formatCode="\$#,###.0,&quot;K&quot;" sourceLinked="1"/>
        <c:majorTickMark val="out"/>
        <c:minorTickMark val="none"/>
        <c:tickLblPos val="nextTo"/>
        <c:crossAx val="211691888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Dashboard.xlsx]Pivots!weekly trend</c:name>
    <c:fmtId val="1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Pivots!$J$14</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Pivots!$I$15:$I$22</c:f>
              <c:strCache>
                <c:ptCount val="7"/>
                <c:pt idx="0">
                  <c:v>Saturday</c:v>
                </c:pt>
                <c:pt idx="1">
                  <c:v>Friday</c:v>
                </c:pt>
                <c:pt idx="2">
                  <c:v>Thursday</c:v>
                </c:pt>
                <c:pt idx="3">
                  <c:v>Wednesday</c:v>
                </c:pt>
                <c:pt idx="4">
                  <c:v>Tuesday</c:v>
                </c:pt>
                <c:pt idx="5">
                  <c:v>Monday</c:v>
                </c:pt>
                <c:pt idx="6">
                  <c:v>Sunday</c:v>
                </c:pt>
              </c:strCache>
            </c:strRef>
          </c:cat>
          <c:val>
            <c:numRef>
              <c:f>Pivots!$J$15:$J$22</c:f>
              <c:numCache>
                <c:formatCode>#,##0</c:formatCode>
                <c:ptCount val="7"/>
                <c:pt idx="0">
                  <c:v>40</c:v>
                </c:pt>
                <c:pt idx="1">
                  <c:v>24</c:v>
                </c:pt>
                <c:pt idx="2">
                  <c:v>23</c:v>
                </c:pt>
                <c:pt idx="3">
                  <c:v>23</c:v>
                </c:pt>
                <c:pt idx="4">
                  <c:v>13</c:v>
                </c:pt>
                <c:pt idx="5">
                  <c:v>30</c:v>
                </c:pt>
                <c:pt idx="6">
                  <c:v>36</c:v>
                </c:pt>
              </c:numCache>
            </c:numRef>
          </c:val>
          <c:extLst>
            <c:ext xmlns:c16="http://schemas.microsoft.com/office/drawing/2014/chart" uri="{C3380CC4-5D6E-409C-BE32-E72D297353CC}">
              <c16:uniqueId val="{00000000-F465-46B0-A9C7-64C72C0550A2}"/>
            </c:ext>
          </c:extLst>
        </c:ser>
        <c:dLbls>
          <c:showLegendKey val="0"/>
          <c:showVal val="0"/>
          <c:showCatName val="0"/>
          <c:showSerName val="0"/>
          <c:showPercent val="0"/>
          <c:showBubbleSize val="0"/>
        </c:dLbls>
        <c:gapWidth val="75"/>
        <c:gapDepth val="0"/>
        <c:shape val="box"/>
        <c:axId val="112532960"/>
        <c:axId val="1476355808"/>
        <c:axId val="0"/>
      </c:bar3DChart>
      <c:catAx>
        <c:axId val="1125329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476355808"/>
        <c:crosses val="autoZero"/>
        <c:auto val="1"/>
        <c:lblAlgn val="ctr"/>
        <c:lblOffset val="100"/>
        <c:noMultiLvlLbl val="0"/>
      </c:catAx>
      <c:valAx>
        <c:axId val="1476355808"/>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32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Dashboard.xlsx]Pivots!Monthly trend</c:name>
    <c:fmtId val="4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Calls Trend</a:t>
            </a:r>
          </a:p>
        </c:rich>
      </c:tx>
      <c:layout>
        <c:manualLayout>
          <c:xMode val="edge"/>
          <c:yMode val="edge"/>
          <c:x val="2.8937445319335082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bg1">
                <a:lumMod val="75000"/>
              </a:schemeClr>
            </a:solidFill>
            <a:round/>
          </a:ln>
          <a:effectLst/>
        </c:spPr>
        <c:marker>
          <c:symbol val="circle"/>
          <c:size val="6"/>
          <c:spPr>
            <a:solidFill>
              <a:schemeClr val="accent1">
                <a:lumMod val="20000"/>
                <a:lumOff val="8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55000"/>
                  <a:lumOff val="45000"/>
                  <a:alpha val="70000"/>
                </a:schemeClr>
              </a:gs>
              <a:gs pos="100000">
                <a:schemeClr val="accent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55000"/>
                  <a:lumOff val="45000"/>
                  <a:alpha val="70000"/>
                </a:schemeClr>
              </a:gs>
              <a:gs pos="100000">
                <a:schemeClr val="accent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bg1">
                <a:lumMod val="75000"/>
              </a:schemeClr>
            </a:solidFill>
            <a:round/>
          </a:ln>
          <a:effectLst/>
        </c:spPr>
        <c:marker>
          <c:symbol val="circle"/>
          <c:size val="6"/>
          <c:spPr>
            <a:solidFill>
              <a:schemeClr val="accent1">
                <a:lumMod val="20000"/>
                <a:lumOff val="8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100000">
                <a:schemeClr val="accent1">
                  <a:lumMod val="60000"/>
                  <a:lumOff val="40000"/>
                </a:schemeClr>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bg1">
                <a:lumMod val="65000"/>
              </a:schemeClr>
            </a:solidFill>
            <a:round/>
          </a:ln>
          <a:effectLst/>
        </c:spPr>
        <c:marker>
          <c:symbol val="circle"/>
          <c:size val="6"/>
          <c:spPr>
            <a:solidFill>
              <a:schemeClr val="accent1">
                <a:lumMod val="20000"/>
                <a:lumOff val="8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1"/>
                </a:gs>
                <a:gs pos="100000">
                  <a:schemeClr val="accent1">
                    <a:lumMod val="60000"/>
                    <a:lumOff val="40000"/>
                  </a:schemeClr>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0-3825-44C7-9F56-3079E27FDF25}"/>
            </c:ext>
          </c:extLst>
        </c:ser>
        <c:dLbls>
          <c:showLegendKey val="0"/>
          <c:showVal val="0"/>
          <c:showCatName val="0"/>
          <c:showSerName val="0"/>
          <c:showPercent val="0"/>
          <c:showBubbleSize val="0"/>
        </c:dLbls>
        <c:axId val="1588503696"/>
        <c:axId val="1588504656"/>
      </c:areaChart>
      <c:lineChart>
        <c:grouping val="standard"/>
        <c:varyColors val="0"/>
        <c:ser>
          <c:idx val="0"/>
          <c:order val="0"/>
          <c:tx>
            <c:strRef>
              <c:f>Pivots!$B$15</c:f>
              <c:strCache>
                <c:ptCount val="1"/>
                <c:pt idx="0">
                  <c:v>Call Count</c:v>
                </c:pt>
              </c:strCache>
            </c:strRef>
          </c:tx>
          <c:spPr>
            <a:ln w="34925" cap="rnd">
              <a:solidFill>
                <a:schemeClr val="bg1">
                  <a:lumMod val="65000"/>
                </a:schemeClr>
              </a:solidFill>
              <a:round/>
            </a:ln>
            <a:effectLst/>
          </c:spPr>
          <c:marker>
            <c:symbol val="circle"/>
            <c:size val="6"/>
            <c:spPr>
              <a:solidFill>
                <a:schemeClr val="accent1">
                  <a:lumMod val="20000"/>
                  <a:lumOff val="80000"/>
                </a:schemeClr>
              </a:solidFill>
              <a:ln w="9525">
                <a:solidFill>
                  <a:schemeClr val="accent1"/>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1-3825-44C7-9F56-3079E27FDF25}"/>
            </c:ext>
          </c:extLst>
        </c:ser>
        <c:dLbls>
          <c:showLegendKey val="0"/>
          <c:showVal val="0"/>
          <c:showCatName val="0"/>
          <c:showSerName val="0"/>
          <c:showPercent val="0"/>
          <c:showBubbleSize val="0"/>
        </c:dLbls>
        <c:marker val="1"/>
        <c:smooth val="0"/>
        <c:axId val="1588503696"/>
        <c:axId val="1588504656"/>
      </c:lineChart>
      <c:catAx>
        <c:axId val="158850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588504656"/>
        <c:crosses val="autoZero"/>
        <c:auto val="1"/>
        <c:lblAlgn val="ctr"/>
        <c:lblOffset val="100"/>
        <c:noMultiLvlLbl val="0"/>
      </c:catAx>
      <c:valAx>
        <c:axId val="15885046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588503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Calls</a:t>
            </a:r>
          </a:p>
        </c:rich>
      </c:tx>
      <c:layout>
        <c:manualLayout>
          <c:xMode val="edge"/>
          <c:yMode val="edge"/>
          <c:x val="2.8669512781246773E-2"/>
          <c:y val="7.20569220882787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457622534378119"/>
          <c:y val="0.19970145026827932"/>
          <c:w val="0.85576075514139438"/>
          <c:h val="0.67539351584916663"/>
        </c:manualLayout>
      </c:layout>
      <c:barChart>
        <c:barDir val="bar"/>
        <c:grouping val="clustered"/>
        <c:varyColors val="0"/>
        <c:ser>
          <c:idx val="0"/>
          <c:order val="0"/>
          <c:spPr>
            <a:solidFill>
              <a:schemeClr val="bg1">
                <a:lumMod val="85000"/>
              </a:schemeClr>
            </a:solidFill>
            <a:ln>
              <a:noFill/>
            </a:ln>
            <a:effectLst/>
          </c:spPr>
          <c:invertIfNegative val="0"/>
          <c:dPt>
            <c:idx val="4"/>
            <c:invertIfNegative val="0"/>
            <c:bubble3D val="0"/>
            <c:spPr>
              <a:solidFill>
                <a:schemeClr val="bg1">
                  <a:lumMod val="85000"/>
                </a:schemeClr>
              </a:solidFill>
              <a:ln>
                <a:gradFill>
                  <a:gsLst>
                    <a:gs pos="0">
                      <a:schemeClr val="accent1">
                        <a:lumMod val="20000"/>
                        <a:lumOff val="80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1-09C0-433C-851A-4B661E50E46C}"/>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Pivots!$G$37:$G$41</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2-09C0-433C-851A-4B661E50E46C}"/>
            </c:ext>
          </c:extLst>
        </c:ser>
        <c:ser>
          <c:idx val="1"/>
          <c:order val="1"/>
          <c:tx>
            <c:strRef>
              <c:f>Pivots!$I$36</c:f>
              <c:strCache>
                <c:ptCount val="1"/>
                <c:pt idx="0">
                  <c:v>Sel Col</c:v>
                </c:pt>
              </c:strCache>
            </c:strRef>
          </c:tx>
          <c:spPr>
            <a:gradFill>
              <a:gsLst>
                <a:gs pos="0">
                  <a:schemeClr val="accent1">
                    <a:lumMod val="20000"/>
                    <a:lumOff val="80000"/>
                  </a:schemeClr>
                </a:gs>
                <a:gs pos="100000">
                  <a:schemeClr val="accent1"/>
                </a:gs>
              </a:gsLst>
              <a:lin ang="0" scaled="1"/>
            </a:gradFill>
            <a:ln>
              <a:noFill/>
            </a:ln>
            <a:effectLst/>
          </c:spPr>
          <c:invertIfNegative val="0"/>
          <c:val>
            <c:numRef>
              <c:f>Pivots!$I$37:$I$41</c:f>
              <c:numCache>
                <c:formatCode>General</c:formatCode>
                <c:ptCount val="5"/>
                <c:pt idx="0">
                  <c:v>189</c:v>
                </c:pt>
                <c:pt idx="1">
                  <c:v>0</c:v>
                </c:pt>
                <c:pt idx="2">
                  <c:v>0</c:v>
                </c:pt>
                <c:pt idx="3">
                  <c:v>0</c:v>
                </c:pt>
                <c:pt idx="4">
                  <c:v>0</c:v>
                </c:pt>
              </c:numCache>
            </c:numRef>
          </c:val>
          <c:extLst>
            <c:ext xmlns:c16="http://schemas.microsoft.com/office/drawing/2014/chart" uri="{C3380CC4-5D6E-409C-BE32-E72D297353CC}">
              <c16:uniqueId val="{00000003-09C0-433C-851A-4B661E50E46C}"/>
            </c:ext>
          </c:extLst>
        </c:ser>
        <c:dLbls>
          <c:showLegendKey val="0"/>
          <c:showVal val="0"/>
          <c:showCatName val="0"/>
          <c:showSerName val="0"/>
          <c:showPercent val="0"/>
          <c:showBubbleSize val="0"/>
        </c:dLbls>
        <c:gapWidth val="25"/>
        <c:overlap val="100"/>
        <c:axId val="1150670384"/>
        <c:axId val="1150661744"/>
      </c:barChart>
      <c:catAx>
        <c:axId val="115067038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150661744"/>
        <c:crosses val="autoZero"/>
        <c:auto val="1"/>
        <c:lblAlgn val="ctr"/>
        <c:lblOffset val="100"/>
        <c:noMultiLvlLbl val="0"/>
      </c:catAx>
      <c:valAx>
        <c:axId val="1150661744"/>
        <c:scaling>
          <c:orientation val="minMax"/>
          <c:min val="0"/>
        </c:scaling>
        <c:delete val="1"/>
        <c:axPos val="t"/>
        <c:numFmt formatCode="General" sourceLinked="1"/>
        <c:majorTickMark val="none"/>
        <c:minorTickMark val="none"/>
        <c:tickLblPos val="nextTo"/>
        <c:crossAx val="1150670384"/>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1">
                    <a:lumMod val="75000"/>
                  </a:schemeClr>
                </a:solidFill>
              </a:rPr>
              <a:t>Male</a:t>
            </a:r>
            <a:r>
              <a:rPr lang="en-IN" b="1" baseline="0"/>
              <a:t> vs </a:t>
            </a:r>
            <a:r>
              <a:rPr lang="en-IN" b="1" baseline="0">
                <a:solidFill>
                  <a:srgbClr val="00B0F0"/>
                </a:solidFill>
              </a:rPr>
              <a:t>Female</a:t>
            </a:r>
            <a:r>
              <a:rPr lang="en-IN" b="1" baseline="0"/>
              <a:t> Callers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00B0F0"/>
          </a:solidFill>
          <a:ln>
            <a:noFill/>
          </a:ln>
          <a:effectLst/>
        </c:spPr>
        <c:marker>
          <c:symbol val="none"/>
        </c:marker>
        <c:dLbl>
          <c:idx val="0"/>
          <c:spPr>
            <a:solidFill>
              <a:schemeClr val="lt1"/>
            </a:solidFill>
            <a:ln>
              <a:solidFill>
                <a:schemeClr val="bg1">
                  <a:lumMod val="9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lumMod val="75000"/>
            </a:schemeClr>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solidFill>
              <a:schemeClr val="lt1"/>
            </a:solidFill>
            <a:ln>
              <a:solidFill>
                <a:schemeClr val="bg1">
                  <a:lumMod val="9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4"/>
        <c:spPr>
          <a:solidFill>
            <a:schemeClr val="accent1">
              <a:lumMod val="75000"/>
            </a:schemeClr>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solidFill>
              <a:schemeClr val="lt1"/>
            </a:solidFill>
            <a:ln>
              <a:solidFill>
                <a:schemeClr val="bg1">
                  <a:lumMod val="9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chemeClr val="accent1">
              <a:lumMod val="75000"/>
            </a:schemeClr>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Pivots!$B$60:$B$61</c:f>
              <c:strCache>
                <c:ptCount val="1"/>
                <c:pt idx="0">
                  <c:v>Female</c:v>
                </c:pt>
              </c:strCache>
            </c:strRef>
          </c:tx>
          <c:spPr>
            <a:solidFill>
              <a:srgbClr val="00B0F0"/>
            </a:solidFill>
            <a:ln>
              <a:noFill/>
            </a:ln>
            <a:effectLst/>
          </c:spPr>
          <c:invertIfNegative val="0"/>
          <c:dLbls>
            <c:spPr>
              <a:solidFill>
                <a:schemeClr val="lt1"/>
              </a:solidFill>
              <a:ln>
                <a:solidFill>
                  <a:schemeClr val="bg1">
                    <a:lumMod val="9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alpha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Pivots!$A$62:$A$65</c:f>
              <c:strCache>
                <c:ptCount val="3"/>
                <c:pt idx="0">
                  <c:v>Cincinnati</c:v>
                </c:pt>
                <c:pt idx="1">
                  <c:v>Cleveland</c:v>
                </c:pt>
                <c:pt idx="2">
                  <c:v>Columbus</c:v>
                </c:pt>
              </c:strCache>
            </c:strRef>
          </c:cat>
          <c:val>
            <c:numRef>
              <c:f>Pivots!$B$62:$B$65</c:f>
              <c:numCache>
                <c:formatCode>#,##0</c:formatCode>
                <c:ptCount val="3"/>
                <c:pt idx="0">
                  <c:v>144</c:v>
                </c:pt>
                <c:pt idx="1">
                  <c:v>326</c:v>
                </c:pt>
                <c:pt idx="2">
                  <c:v>129</c:v>
                </c:pt>
              </c:numCache>
            </c:numRef>
          </c:val>
          <c:extLst>
            <c:ext xmlns:c16="http://schemas.microsoft.com/office/drawing/2014/chart" uri="{C3380CC4-5D6E-409C-BE32-E72D297353CC}">
              <c16:uniqueId val="{00000000-0317-478F-9458-390F143A9E26}"/>
            </c:ext>
          </c:extLst>
        </c:ser>
        <c:ser>
          <c:idx val="1"/>
          <c:order val="1"/>
          <c:tx>
            <c:strRef>
              <c:f>Pivots!$C$60:$C$61</c:f>
              <c:strCache>
                <c:ptCount val="1"/>
                <c:pt idx="0">
                  <c:v>Male</c:v>
                </c:pt>
              </c:strCache>
            </c:strRef>
          </c:tx>
          <c:spPr>
            <a:solidFill>
              <a:schemeClr val="accent1">
                <a:lumMod val="75000"/>
              </a:schemeClr>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Pivots!$A$62:$A$65</c:f>
              <c:strCache>
                <c:ptCount val="3"/>
                <c:pt idx="0">
                  <c:v>Cincinnati</c:v>
                </c:pt>
                <c:pt idx="1">
                  <c:v>Cleveland</c:v>
                </c:pt>
                <c:pt idx="2">
                  <c:v>Columbus</c:v>
                </c:pt>
              </c:strCache>
            </c:strRef>
          </c:cat>
          <c:val>
            <c:numRef>
              <c:f>Pivots!$C$62:$C$65</c:f>
              <c:numCache>
                <c:formatCode>#,##0</c:formatCode>
                <c:ptCount val="3"/>
                <c:pt idx="0">
                  <c:v>132</c:v>
                </c:pt>
                <c:pt idx="1">
                  <c:v>63</c:v>
                </c:pt>
                <c:pt idx="2">
                  <c:v>206</c:v>
                </c:pt>
              </c:numCache>
            </c:numRef>
          </c:val>
          <c:extLst>
            <c:ext xmlns:c16="http://schemas.microsoft.com/office/drawing/2014/chart" uri="{C3380CC4-5D6E-409C-BE32-E72D297353CC}">
              <c16:uniqueId val="{00000001-0317-478F-9458-390F143A9E26}"/>
            </c:ext>
          </c:extLst>
        </c:ser>
        <c:dLbls>
          <c:showLegendKey val="0"/>
          <c:showVal val="0"/>
          <c:showCatName val="0"/>
          <c:showSerName val="0"/>
          <c:showPercent val="0"/>
          <c:showBubbleSize val="0"/>
        </c:dLbls>
        <c:gapWidth val="25"/>
        <c:overlap val="100"/>
        <c:axId val="609433056"/>
        <c:axId val="609435456"/>
      </c:barChart>
      <c:catAx>
        <c:axId val="60943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5456"/>
        <c:crosses val="autoZero"/>
        <c:auto val="1"/>
        <c:lblAlgn val="ctr"/>
        <c:lblOffset val="100"/>
        <c:noMultiLvlLbl val="0"/>
      </c:catAx>
      <c:valAx>
        <c:axId val="60943545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609433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Dashboard.xlsx]Pivots!rep rating</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Rep</a:t>
            </a:r>
            <a:r>
              <a:rPr lang="en-US" b="1" baseline="0"/>
              <a:t> Rating </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Pivots!$B$75</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Pivots!$A$76:$A$81</c:f>
              <c:strCache>
                <c:ptCount val="5"/>
                <c:pt idx="0">
                  <c:v>1</c:v>
                </c:pt>
                <c:pt idx="1">
                  <c:v>2</c:v>
                </c:pt>
                <c:pt idx="2">
                  <c:v>3</c:v>
                </c:pt>
                <c:pt idx="3">
                  <c:v>4</c:v>
                </c:pt>
                <c:pt idx="4">
                  <c:v>5</c:v>
                </c:pt>
              </c:strCache>
            </c:strRef>
          </c:cat>
          <c:val>
            <c:numRef>
              <c:f>Pivots!$B$76:$B$81</c:f>
              <c:numCache>
                <c:formatCode>#,##0</c:formatCode>
                <c:ptCount val="5"/>
                <c:pt idx="0">
                  <c:v>1</c:v>
                </c:pt>
                <c:pt idx="1">
                  <c:v>9</c:v>
                </c:pt>
                <c:pt idx="2">
                  <c:v>31</c:v>
                </c:pt>
                <c:pt idx="3">
                  <c:v>88</c:v>
                </c:pt>
                <c:pt idx="4">
                  <c:v>60</c:v>
                </c:pt>
              </c:numCache>
            </c:numRef>
          </c:val>
          <c:extLst>
            <c:ext xmlns:c16="http://schemas.microsoft.com/office/drawing/2014/chart" uri="{C3380CC4-5D6E-409C-BE32-E72D297353CC}">
              <c16:uniqueId val="{00000001-BB83-4D9C-84CE-075E7B854A17}"/>
            </c:ext>
          </c:extLst>
        </c:ser>
        <c:dLbls>
          <c:showLegendKey val="0"/>
          <c:showVal val="0"/>
          <c:showCatName val="0"/>
          <c:showSerName val="0"/>
          <c:showPercent val="0"/>
          <c:showBubbleSize val="0"/>
        </c:dLbls>
        <c:gapWidth val="10"/>
        <c:overlap val="-27"/>
        <c:axId val="1832052320"/>
        <c:axId val="1832052800"/>
      </c:barChart>
      <c:catAx>
        <c:axId val="183205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052800"/>
        <c:crosses val="autoZero"/>
        <c:auto val="1"/>
        <c:lblAlgn val="ctr"/>
        <c:lblOffset val="100"/>
        <c:tickLblSkip val="1"/>
        <c:noMultiLvlLbl val="0"/>
      </c:catAx>
      <c:valAx>
        <c:axId val="18320528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052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Calls</a:t>
            </a:r>
          </a:p>
        </c:rich>
      </c:tx>
      <c:layout>
        <c:manualLayout>
          <c:xMode val="edge"/>
          <c:yMode val="edge"/>
          <c:x val="2.8669512781246808E-2"/>
          <c:y val="4.84581572503239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457622534378119"/>
          <c:y val="0.19970145026827932"/>
          <c:w val="0.85576075514139438"/>
          <c:h val="0.67539351584916663"/>
        </c:manualLayout>
      </c:layout>
      <c:barChart>
        <c:barDir val="bar"/>
        <c:grouping val="clustered"/>
        <c:varyColors val="0"/>
        <c:ser>
          <c:idx val="0"/>
          <c:order val="0"/>
          <c:spPr>
            <a:solidFill>
              <a:schemeClr val="bg1">
                <a:lumMod val="85000"/>
              </a:schemeClr>
            </a:solidFill>
            <a:ln>
              <a:noFill/>
            </a:ln>
            <a:effectLst/>
          </c:spPr>
          <c:invertIfNegative val="0"/>
          <c:dPt>
            <c:idx val="4"/>
            <c:invertIfNegative val="0"/>
            <c:bubble3D val="0"/>
            <c:spPr>
              <a:solidFill>
                <a:schemeClr val="bg1">
                  <a:lumMod val="85000"/>
                </a:schemeClr>
              </a:solidFill>
              <a:ln>
                <a:gradFill>
                  <a:gsLst>
                    <a:gs pos="0">
                      <a:schemeClr val="accent1">
                        <a:lumMod val="20000"/>
                        <a:lumOff val="80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1-56FD-4D4F-97AD-8ADAC271D52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Pivots!$G$37:$G$41</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56FD-4D4F-97AD-8ADAC271D529}"/>
            </c:ext>
          </c:extLst>
        </c:ser>
        <c:ser>
          <c:idx val="1"/>
          <c:order val="1"/>
          <c:tx>
            <c:strRef>
              <c:f>Pivots!$I$36</c:f>
              <c:strCache>
                <c:ptCount val="1"/>
                <c:pt idx="0">
                  <c:v>Sel Col</c:v>
                </c:pt>
              </c:strCache>
            </c:strRef>
          </c:tx>
          <c:spPr>
            <a:gradFill>
              <a:gsLst>
                <a:gs pos="0">
                  <a:schemeClr val="accent1">
                    <a:lumMod val="20000"/>
                    <a:lumOff val="80000"/>
                  </a:schemeClr>
                </a:gs>
                <a:gs pos="100000">
                  <a:schemeClr val="accent1"/>
                </a:gs>
              </a:gsLst>
              <a:lin ang="0" scaled="1"/>
            </a:gradFill>
            <a:ln>
              <a:noFill/>
            </a:ln>
            <a:effectLst/>
          </c:spPr>
          <c:invertIfNegative val="0"/>
          <c:val>
            <c:numRef>
              <c:f>Pivots!$I$37:$I$41</c:f>
              <c:numCache>
                <c:formatCode>General</c:formatCode>
                <c:ptCount val="5"/>
                <c:pt idx="0">
                  <c:v>189</c:v>
                </c:pt>
                <c:pt idx="1">
                  <c:v>0</c:v>
                </c:pt>
                <c:pt idx="2">
                  <c:v>0</c:v>
                </c:pt>
                <c:pt idx="3">
                  <c:v>0</c:v>
                </c:pt>
                <c:pt idx="4">
                  <c:v>0</c:v>
                </c:pt>
              </c:numCache>
            </c:numRef>
          </c:val>
          <c:extLst>
            <c:ext xmlns:c16="http://schemas.microsoft.com/office/drawing/2014/chart" uri="{C3380CC4-5D6E-409C-BE32-E72D297353CC}">
              <c16:uniqueId val="{00000002-56FD-4D4F-97AD-8ADAC271D529}"/>
            </c:ext>
          </c:extLst>
        </c:ser>
        <c:dLbls>
          <c:showLegendKey val="0"/>
          <c:showVal val="0"/>
          <c:showCatName val="0"/>
          <c:showSerName val="0"/>
          <c:showPercent val="0"/>
          <c:showBubbleSize val="0"/>
        </c:dLbls>
        <c:gapWidth val="25"/>
        <c:overlap val="100"/>
        <c:axId val="1150670384"/>
        <c:axId val="1150661744"/>
      </c:barChart>
      <c:catAx>
        <c:axId val="115067038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0661744"/>
        <c:crosses val="autoZero"/>
        <c:auto val="1"/>
        <c:lblAlgn val="ctr"/>
        <c:lblOffset val="100"/>
        <c:noMultiLvlLbl val="0"/>
      </c:catAx>
      <c:valAx>
        <c:axId val="1150661744"/>
        <c:scaling>
          <c:orientation val="minMax"/>
          <c:min val="0"/>
        </c:scaling>
        <c:delete val="1"/>
        <c:axPos val="t"/>
        <c:numFmt formatCode="General" sourceLinked="1"/>
        <c:majorTickMark val="none"/>
        <c:minorTickMark val="none"/>
        <c:tickLblPos val="nextTo"/>
        <c:crossAx val="11506703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Amount</a:t>
            </a:r>
          </a:p>
        </c:rich>
      </c:tx>
      <c:layout>
        <c:manualLayout>
          <c:xMode val="edge"/>
          <c:yMode val="edge"/>
          <c:x val="1.9599987299817403E-2"/>
          <c:y val="4.91803278688524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Pivots!$H$37:$H$41</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BA0B-41BD-93F0-9E0E5FBDF2EA}"/>
            </c:ext>
          </c:extLst>
        </c:ser>
        <c:ser>
          <c:idx val="1"/>
          <c:order val="1"/>
          <c:tx>
            <c:strRef>
              <c:f>Pivots!$J$36</c:f>
              <c:strCache>
                <c:ptCount val="1"/>
                <c:pt idx="0">
                  <c:v>Sel Am</c:v>
                </c:pt>
              </c:strCache>
            </c:strRef>
          </c:tx>
          <c:spPr>
            <a:gradFill>
              <a:gsLst>
                <a:gs pos="0">
                  <a:schemeClr val="accent1">
                    <a:lumMod val="75000"/>
                  </a:schemeClr>
                </a:gs>
                <a:gs pos="100000">
                  <a:schemeClr val="accent1"/>
                </a:gs>
              </a:gsLst>
              <a:lin ang="13500000" scaled="1"/>
            </a:gradFill>
            <a:ln>
              <a:noFill/>
            </a:ln>
            <a:effectLst/>
          </c:spPr>
          <c:invertIfNegative val="0"/>
          <c:val>
            <c:numRef>
              <c:f>Pivots!$J$37:$J$41</c:f>
              <c:numCache>
                <c:formatCode>General</c:formatCode>
                <c:ptCount val="5"/>
                <c:pt idx="0">
                  <c:v>18415</c:v>
                </c:pt>
                <c:pt idx="1">
                  <c:v>0</c:v>
                </c:pt>
                <c:pt idx="2">
                  <c:v>0</c:v>
                </c:pt>
                <c:pt idx="3">
                  <c:v>0</c:v>
                </c:pt>
                <c:pt idx="4">
                  <c:v>0</c:v>
                </c:pt>
              </c:numCache>
            </c:numRef>
          </c:val>
          <c:extLst>
            <c:ext xmlns:c16="http://schemas.microsoft.com/office/drawing/2014/chart" uri="{C3380CC4-5D6E-409C-BE32-E72D297353CC}">
              <c16:uniqueId val="{00000002-BA0B-41BD-93F0-9E0E5FBDF2EA}"/>
            </c:ext>
          </c:extLst>
        </c:ser>
        <c:dLbls>
          <c:showLegendKey val="0"/>
          <c:showVal val="0"/>
          <c:showCatName val="0"/>
          <c:showSerName val="0"/>
          <c:showPercent val="0"/>
          <c:showBubbleSize val="0"/>
        </c:dLbls>
        <c:gapWidth val="25"/>
        <c:overlap val="100"/>
        <c:axId val="2116918880"/>
        <c:axId val="2116903520"/>
      </c:barChart>
      <c:catAx>
        <c:axId val="211691888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903520"/>
        <c:crosses val="autoZero"/>
        <c:auto val="1"/>
        <c:lblAlgn val="ctr"/>
        <c:lblOffset val="100"/>
        <c:noMultiLvlLbl val="0"/>
      </c:catAx>
      <c:valAx>
        <c:axId val="2116903520"/>
        <c:scaling>
          <c:orientation val="minMax"/>
        </c:scaling>
        <c:delete val="1"/>
        <c:axPos val="t"/>
        <c:numFmt formatCode="\$#,###.0,&quot;K&quot;" sourceLinked="1"/>
        <c:majorTickMark val="out"/>
        <c:minorTickMark val="none"/>
        <c:tickLblPos val="nextTo"/>
        <c:crossAx val="2116918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Dashboard.xlsx]Pivots!Monthly trend</c:name>
    <c:fmtId val="34"/>
  </c:pivotSource>
  <c:chart>
    <c:autoTitleDeleted val="0"/>
    <c:pivotFmts>
      <c:pivotFmt>
        <c:idx val="0"/>
        <c:spPr>
          <a:ln w="28575" cap="rnd">
            <a:solidFill>
              <a:schemeClr val="bg1">
                <a:lumMod val="75000"/>
              </a:schemeClr>
            </a:solidFill>
            <a:round/>
          </a:ln>
          <a:effectLst/>
        </c:spPr>
        <c:marker>
          <c:symbol val="circle"/>
          <c:size val="6"/>
          <c:spPr>
            <a:solidFill>
              <a:schemeClr val="accent1">
                <a:lumMod val="20000"/>
                <a:lumOff val="8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55000"/>
                  <a:lumOff val="45000"/>
                  <a:alpha val="70000"/>
                </a:schemeClr>
              </a:gs>
              <a:gs pos="100000">
                <a:schemeClr val="accent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1">
                    <a:lumMod val="55000"/>
                    <a:lumOff val="45000"/>
                    <a:alpha val="70000"/>
                  </a:schemeClr>
                </a:gs>
                <a:gs pos="100000">
                  <a:schemeClr val="accent1"/>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1-E56A-4F23-8609-502AD3F2DDB2}"/>
            </c:ext>
          </c:extLst>
        </c:ser>
        <c:dLbls>
          <c:showLegendKey val="0"/>
          <c:showVal val="0"/>
          <c:showCatName val="0"/>
          <c:showSerName val="0"/>
          <c:showPercent val="0"/>
          <c:showBubbleSize val="0"/>
        </c:dLbls>
        <c:axId val="1588503696"/>
        <c:axId val="1588504656"/>
      </c:areaChart>
      <c:lineChart>
        <c:grouping val="standard"/>
        <c:varyColors val="0"/>
        <c:ser>
          <c:idx val="0"/>
          <c:order val="0"/>
          <c:tx>
            <c:strRef>
              <c:f>Pivots!$B$15</c:f>
              <c:strCache>
                <c:ptCount val="1"/>
                <c:pt idx="0">
                  <c:v>Call Count</c:v>
                </c:pt>
              </c:strCache>
            </c:strRef>
          </c:tx>
          <c:spPr>
            <a:ln w="28575" cap="rnd">
              <a:solidFill>
                <a:schemeClr val="bg1">
                  <a:lumMod val="75000"/>
                </a:schemeClr>
              </a:solidFill>
              <a:round/>
            </a:ln>
            <a:effectLst/>
          </c:spPr>
          <c:marker>
            <c:symbol val="circle"/>
            <c:size val="6"/>
            <c:spPr>
              <a:solidFill>
                <a:schemeClr val="accent1">
                  <a:lumMod val="20000"/>
                  <a:lumOff val="80000"/>
                </a:schemeClr>
              </a:solidFill>
              <a:ln w="9525">
                <a:solidFill>
                  <a:schemeClr val="accent1"/>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0-E56A-4F23-8609-502AD3F2DDB2}"/>
            </c:ext>
          </c:extLst>
        </c:ser>
        <c:dLbls>
          <c:showLegendKey val="0"/>
          <c:showVal val="0"/>
          <c:showCatName val="0"/>
          <c:showSerName val="0"/>
          <c:showPercent val="0"/>
          <c:showBubbleSize val="0"/>
        </c:dLbls>
        <c:marker val="1"/>
        <c:smooth val="0"/>
        <c:axId val="1588503696"/>
        <c:axId val="1588504656"/>
      </c:lineChart>
      <c:catAx>
        <c:axId val="158850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504656"/>
        <c:crosses val="autoZero"/>
        <c:auto val="1"/>
        <c:lblAlgn val="ctr"/>
        <c:lblOffset val="100"/>
        <c:noMultiLvlLbl val="0"/>
      </c:catAx>
      <c:valAx>
        <c:axId val="15885046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503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1">
                    <a:lumMod val="75000"/>
                  </a:schemeClr>
                </a:solidFill>
              </a:rPr>
              <a:t>Male</a:t>
            </a:r>
            <a:r>
              <a:rPr lang="en-IN" b="1" baseline="0"/>
              <a:t> vs </a:t>
            </a:r>
            <a:r>
              <a:rPr lang="en-IN" b="1" baseline="0">
                <a:solidFill>
                  <a:srgbClr val="00B0F0"/>
                </a:solidFill>
              </a:rPr>
              <a:t>Female</a:t>
            </a:r>
            <a:r>
              <a:rPr lang="en-IN" b="1" baseline="0"/>
              <a:t> Callers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00B0F0"/>
          </a:solidFill>
          <a:ln>
            <a:noFill/>
          </a:ln>
          <a:effectLst/>
        </c:spPr>
        <c:marker>
          <c:symbol val="none"/>
        </c:marker>
        <c:dLbl>
          <c:idx val="0"/>
          <c:spPr>
            <a:solidFill>
              <a:schemeClr val="lt1"/>
            </a:solidFill>
            <a:ln>
              <a:solidFill>
                <a:schemeClr val="bg1">
                  <a:lumMod val="9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lumMod val="75000"/>
            </a:schemeClr>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pivotFmt>
    </c:pivotFmts>
    <c:plotArea>
      <c:layout/>
      <c:barChart>
        <c:barDir val="col"/>
        <c:grouping val="percentStacked"/>
        <c:varyColors val="0"/>
        <c:ser>
          <c:idx val="0"/>
          <c:order val="0"/>
          <c:tx>
            <c:strRef>
              <c:f>Pivots!$B$60:$B$61</c:f>
              <c:strCache>
                <c:ptCount val="1"/>
                <c:pt idx="0">
                  <c:v>Female</c:v>
                </c:pt>
              </c:strCache>
            </c:strRef>
          </c:tx>
          <c:spPr>
            <a:solidFill>
              <a:srgbClr val="00B0F0"/>
            </a:solidFill>
            <a:ln>
              <a:noFill/>
            </a:ln>
            <a:effectLst/>
          </c:spPr>
          <c:invertIfNegative val="0"/>
          <c:dLbls>
            <c:spPr>
              <a:solidFill>
                <a:schemeClr val="lt1"/>
              </a:solidFill>
              <a:ln>
                <a:solidFill>
                  <a:schemeClr val="bg1">
                    <a:lumMod val="95000"/>
                  </a:schemeClr>
                </a:solidFill>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lumMod val="65000"/>
                        <a:lumOff val="35000"/>
                        <a:alpha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Pivots!$A$62:$A$65</c:f>
              <c:strCache>
                <c:ptCount val="3"/>
                <c:pt idx="0">
                  <c:v>Cincinnati</c:v>
                </c:pt>
                <c:pt idx="1">
                  <c:v>Cleveland</c:v>
                </c:pt>
                <c:pt idx="2">
                  <c:v>Columbus</c:v>
                </c:pt>
              </c:strCache>
            </c:strRef>
          </c:cat>
          <c:val>
            <c:numRef>
              <c:f>Pivots!$B$62:$B$65</c:f>
              <c:numCache>
                <c:formatCode>#,##0</c:formatCode>
                <c:ptCount val="3"/>
                <c:pt idx="0">
                  <c:v>144</c:v>
                </c:pt>
                <c:pt idx="1">
                  <c:v>326</c:v>
                </c:pt>
                <c:pt idx="2">
                  <c:v>129</c:v>
                </c:pt>
              </c:numCache>
            </c:numRef>
          </c:val>
          <c:extLst>
            <c:ext xmlns:c16="http://schemas.microsoft.com/office/drawing/2014/chart" uri="{C3380CC4-5D6E-409C-BE32-E72D297353CC}">
              <c16:uniqueId val="{00000000-F85D-42C8-8E0B-D7C5A7EF106B}"/>
            </c:ext>
          </c:extLst>
        </c:ser>
        <c:ser>
          <c:idx val="1"/>
          <c:order val="1"/>
          <c:tx>
            <c:strRef>
              <c:f>Pivots!$C$60:$C$61</c:f>
              <c:strCache>
                <c:ptCount val="1"/>
                <c:pt idx="0">
                  <c:v>Male</c:v>
                </c:pt>
              </c:strCache>
            </c:strRef>
          </c:tx>
          <c:spPr>
            <a:solidFill>
              <a:schemeClr val="accent1">
                <a:lumMod val="75000"/>
              </a:schemeClr>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alpha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Pivots!$A$62:$A$65</c:f>
              <c:strCache>
                <c:ptCount val="3"/>
                <c:pt idx="0">
                  <c:v>Cincinnati</c:v>
                </c:pt>
                <c:pt idx="1">
                  <c:v>Cleveland</c:v>
                </c:pt>
                <c:pt idx="2">
                  <c:v>Columbus</c:v>
                </c:pt>
              </c:strCache>
            </c:strRef>
          </c:cat>
          <c:val>
            <c:numRef>
              <c:f>Pivots!$C$62:$C$65</c:f>
              <c:numCache>
                <c:formatCode>#,##0</c:formatCode>
                <c:ptCount val="3"/>
                <c:pt idx="0">
                  <c:v>132</c:v>
                </c:pt>
                <c:pt idx="1">
                  <c:v>63</c:v>
                </c:pt>
                <c:pt idx="2">
                  <c:v>206</c:v>
                </c:pt>
              </c:numCache>
            </c:numRef>
          </c:val>
          <c:extLst>
            <c:ext xmlns:c16="http://schemas.microsoft.com/office/drawing/2014/chart" uri="{C3380CC4-5D6E-409C-BE32-E72D297353CC}">
              <c16:uniqueId val="{00000001-F85D-42C8-8E0B-D7C5A7EF106B}"/>
            </c:ext>
          </c:extLst>
        </c:ser>
        <c:dLbls>
          <c:showLegendKey val="0"/>
          <c:showVal val="0"/>
          <c:showCatName val="0"/>
          <c:showSerName val="0"/>
          <c:showPercent val="0"/>
          <c:showBubbleSize val="0"/>
        </c:dLbls>
        <c:gapWidth val="25"/>
        <c:overlap val="100"/>
        <c:axId val="609433056"/>
        <c:axId val="609435456"/>
      </c:barChart>
      <c:catAx>
        <c:axId val="609433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5456"/>
        <c:crosses val="autoZero"/>
        <c:auto val="1"/>
        <c:lblAlgn val="ctr"/>
        <c:lblOffset val="100"/>
        <c:noMultiLvlLbl val="0"/>
      </c:catAx>
      <c:valAx>
        <c:axId val="609435456"/>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609433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[Representative KPI Dashboard.xlsx]Pivots!rep rating</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Rep</a:t>
            </a:r>
            <a:r>
              <a:rPr lang="en-US" b="1" baseline="0"/>
              <a:t> Rating Trend</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Pivots!$B$75</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Pivots!$A$76:$A$81</c:f>
              <c:strCache>
                <c:ptCount val="5"/>
                <c:pt idx="0">
                  <c:v>1</c:v>
                </c:pt>
                <c:pt idx="1">
                  <c:v>2</c:v>
                </c:pt>
                <c:pt idx="2">
                  <c:v>3</c:v>
                </c:pt>
                <c:pt idx="3">
                  <c:v>4</c:v>
                </c:pt>
                <c:pt idx="4">
                  <c:v>5</c:v>
                </c:pt>
              </c:strCache>
            </c:strRef>
          </c:cat>
          <c:val>
            <c:numRef>
              <c:f>Pivots!$B$76:$B$81</c:f>
              <c:numCache>
                <c:formatCode>#,##0</c:formatCode>
                <c:ptCount val="5"/>
                <c:pt idx="0">
                  <c:v>1</c:v>
                </c:pt>
                <c:pt idx="1">
                  <c:v>9</c:v>
                </c:pt>
                <c:pt idx="2">
                  <c:v>31</c:v>
                </c:pt>
                <c:pt idx="3">
                  <c:v>88</c:v>
                </c:pt>
                <c:pt idx="4">
                  <c:v>60</c:v>
                </c:pt>
              </c:numCache>
            </c:numRef>
          </c:val>
          <c:extLst>
            <c:ext xmlns:c16="http://schemas.microsoft.com/office/drawing/2014/chart" uri="{C3380CC4-5D6E-409C-BE32-E72D297353CC}">
              <c16:uniqueId val="{00000000-946C-4CFC-BEE4-6C231F35778A}"/>
            </c:ext>
          </c:extLst>
        </c:ser>
        <c:dLbls>
          <c:showLegendKey val="0"/>
          <c:showVal val="0"/>
          <c:showCatName val="0"/>
          <c:showSerName val="0"/>
          <c:showPercent val="0"/>
          <c:showBubbleSize val="0"/>
        </c:dLbls>
        <c:gapWidth val="10"/>
        <c:overlap val="-27"/>
        <c:axId val="1832052320"/>
        <c:axId val="1832052800"/>
      </c:barChart>
      <c:catAx>
        <c:axId val="183205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052800"/>
        <c:crosses val="autoZero"/>
        <c:auto val="1"/>
        <c:lblAlgn val="ctr"/>
        <c:lblOffset val="100"/>
        <c:noMultiLvlLbl val="0"/>
      </c:catAx>
      <c:valAx>
        <c:axId val="18320528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2052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chart" Target="../charts/chart3.xml"/><Relationship Id="rId3" Type="http://schemas.openxmlformats.org/officeDocument/2006/relationships/image" Target="../media/image8.svg"/><Relationship Id="rId7" Type="http://schemas.openxmlformats.org/officeDocument/2006/relationships/image" Target="../media/image12.svg"/><Relationship Id="rId12" Type="http://schemas.openxmlformats.org/officeDocument/2006/relationships/chart" Target="../charts/chart2.xml"/><Relationship Id="rId2" Type="http://schemas.openxmlformats.org/officeDocument/2006/relationships/image" Target="../media/image7.png"/><Relationship Id="rId16" Type="http://schemas.openxmlformats.org/officeDocument/2006/relationships/chart" Target="../charts/chart6.xml"/><Relationship Id="rId1" Type="http://schemas.openxmlformats.org/officeDocument/2006/relationships/chart" Target="../charts/chart1.xml"/><Relationship Id="rId6" Type="http://schemas.openxmlformats.org/officeDocument/2006/relationships/image" Target="../media/image11.png"/><Relationship Id="rId11" Type="http://schemas.openxmlformats.org/officeDocument/2006/relationships/image" Target="../media/image16.svg"/><Relationship Id="rId5" Type="http://schemas.openxmlformats.org/officeDocument/2006/relationships/image" Target="../media/image10.svg"/><Relationship Id="rId15" Type="http://schemas.openxmlformats.org/officeDocument/2006/relationships/chart" Target="../charts/chart5.xml"/><Relationship Id="rId10" Type="http://schemas.openxmlformats.org/officeDocument/2006/relationships/image" Target="../media/image15.png"/><Relationship Id="rId4" Type="http://schemas.openxmlformats.org/officeDocument/2006/relationships/image" Target="../media/image9.png"/><Relationship Id="rId9" Type="http://schemas.openxmlformats.org/officeDocument/2006/relationships/image" Target="../media/image14.sv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8" Type="http://schemas.openxmlformats.org/officeDocument/2006/relationships/image" Target="../media/image24.svg"/><Relationship Id="rId3" Type="http://schemas.openxmlformats.org/officeDocument/2006/relationships/image" Target="../media/image19.png"/><Relationship Id="rId7" Type="http://schemas.openxmlformats.org/officeDocument/2006/relationships/image" Target="../media/image23.png"/><Relationship Id="rId12" Type="http://schemas.openxmlformats.org/officeDocument/2006/relationships/image" Target="../media/image28.svg"/><Relationship Id="rId2" Type="http://schemas.openxmlformats.org/officeDocument/2006/relationships/image" Target="../media/image18.svg"/><Relationship Id="rId1" Type="http://schemas.openxmlformats.org/officeDocument/2006/relationships/image" Target="../media/image17.png"/><Relationship Id="rId6" Type="http://schemas.openxmlformats.org/officeDocument/2006/relationships/image" Target="../media/image22.svg"/><Relationship Id="rId11" Type="http://schemas.openxmlformats.org/officeDocument/2006/relationships/image" Target="../media/image27.png"/><Relationship Id="rId5" Type="http://schemas.openxmlformats.org/officeDocument/2006/relationships/image" Target="../media/image21.png"/><Relationship Id="rId10" Type="http://schemas.openxmlformats.org/officeDocument/2006/relationships/image" Target="../media/image26.svg"/><Relationship Id="rId4" Type="http://schemas.openxmlformats.org/officeDocument/2006/relationships/image" Target="../media/image20.svg"/><Relationship Id="rId9"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17</xdr:col>
      <xdr:colOff>507546</xdr:colOff>
      <xdr:row>20</xdr:row>
      <xdr:rowOff>13607</xdr:rowOff>
    </xdr:from>
    <xdr:to>
      <xdr:col>19</xdr:col>
      <xdr:colOff>466725</xdr:colOff>
      <xdr:row>29</xdr:row>
      <xdr:rowOff>28576</xdr:rowOff>
    </xdr:to>
    <mc:AlternateContent xmlns:mc="http://schemas.openxmlformats.org/markup-compatibility/2006" xmlns:a14="http://schemas.microsoft.com/office/drawing/2010/main">
      <mc:Choice Requires="a14">
        <xdr:graphicFrame macro="">
          <xdr:nvGraphicFramePr>
            <xdr:cNvPr id="139" name="Representative">
              <a:extLst>
                <a:ext uri="{FF2B5EF4-FFF2-40B4-BE49-F238E27FC236}">
                  <a16:creationId xmlns:a16="http://schemas.microsoft.com/office/drawing/2014/main" id="{F8024D18-A4CA-41AE-81FF-DAF4B481FD13}"/>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070646" y="3633107"/>
              <a:ext cx="1178379" cy="17961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514350</xdr:colOff>
      <xdr:row>19</xdr:row>
      <xdr:rowOff>47625</xdr:rowOff>
    </xdr:from>
    <xdr:to>
      <xdr:col>17</xdr:col>
      <xdr:colOff>542925</xdr:colOff>
      <xdr:row>38</xdr:row>
      <xdr:rowOff>38100</xdr:rowOff>
    </xdr:to>
    <xdr:sp macro="" textlink="">
      <xdr:nvSpPr>
        <xdr:cNvPr id="15" name="Rectangle 14">
          <a:extLst>
            <a:ext uri="{FF2B5EF4-FFF2-40B4-BE49-F238E27FC236}">
              <a16:creationId xmlns:a16="http://schemas.microsoft.com/office/drawing/2014/main" id="{37A039CF-C640-D94D-B3DF-BE4AD944759B}"/>
            </a:ext>
          </a:extLst>
        </xdr:cNvPr>
        <xdr:cNvSpPr/>
      </xdr:nvSpPr>
      <xdr:spPr>
        <a:xfrm>
          <a:off x="2152650" y="3486150"/>
          <a:ext cx="7953375" cy="3429000"/>
        </a:xfrm>
        <a:prstGeom prst="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200025</xdr:colOff>
      <xdr:row>21</xdr:row>
      <xdr:rowOff>38100</xdr:rowOff>
    </xdr:from>
    <xdr:to>
      <xdr:col>17</xdr:col>
      <xdr:colOff>258907</xdr:colOff>
      <xdr:row>36</xdr:row>
      <xdr:rowOff>114300</xdr:rowOff>
    </xdr:to>
    <xdr:graphicFrame macro="">
      <xdr:nvGraphicFramePr>
        <xdr:cNvPr id="14" name="Chart 13">
          <a:extLst>
            <a:ext uri="{FF2B5EF4-FFF2-40B4-BE49-F238E27FC236}">
              <a16:creationId xmlns:a16="http://schemas.microsoft.com/office/drawing/2014/main" id="{92875324-E49E-400A-A8C0-0F2EFE5088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169332</xdr:colOff>
      <xdr:row>3</xdr:row>
      <xdr:rowOff>152400</xdr:rowOff>
    </xdr:from>
    <xdr:to>
      <xdr:col>4</xdr:col>
      <xdr:colOff>287867</xdr:colOff>
      <xdr:row>10</xdr:row>
      <xdr:rowOff>33866</xdr:rowOff>
    </xdr:to>
    <xdr:sp macro="" textlink="">
      <xdr:nvSpPr>
        <xdr:cNvPr id="2" name="Rectangle 1">
          <a:extLst>
            <a:ext uri="{FF2B5EF4-FFF2-40B4-BE49-F238E27FC236}">
              <a16:creationId xmlns:a16="http://schemas.microsoft.com/office/drawing/2014/main" id="{66152110-D324-84B6-4502-4C9880B9AE82}"/>
            </a:ext>
          </a:extLst>
        </xdr:cNvPr>
        <xdr:cNvSpPr/>
      </xdr:nvSpPr>
      <xdr:spPr>
        <a:xfrm>
          <a:off x="423332" y="711200"/>
          <a:ext cx="1507068" cy="1185333"/>
        </a:xfrm>
        <a:prstGeom prst="rect">
          <a:avLst/>
        </a:prstGeom>
        <a:ln>
          <a:noFill/>
        </a:ln>
        <a:effectLst>
          <a:outerShdw blurRad="254000" dist="127000" algn="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bg1">
                  <a:lumMod val="95000"/>
                </a:schemeClr>
              </a:solidFill>
              <a:latin typeface="+mn-lt"/>
            </a:rPr>
            <a:t>1,000</a:t>
          </a:r>
        </a:p>
      </xdr:txBody>
    </xdr:sp>
    <xdr:clientData/>
  </xdr:twoCellAnchor>
  <xdr:twoCellAnchor>
    <xdr:from>
      <xdr:col>2</xdr:col>
      <xdr:colOff>262466</xdr:colOff>
      <xdr:row>3</xdr:row>
      <xdr:rowOff>169332</xdr:rowOff>
    </xdr:from>
    <xdr:to>
      <xdr:col>4</xdr:col>
      <xdr:colOff>59266</xdr:colOff>
      <xdr:row>5</xdr:row>
      <xdr:rowOff>118534</xdr:rowOff>
    </xdr:to>
    <xdr:sp macro="" textlink="">
      <xdr:nvSpPr>
        <xdr:cNvPr id="3" name="TextBox 2">
          <a:extLst>
            <a:ext uri="{FF2B5EF4-FFF2-40B4-BE49-F238E27FC236}">
              <a16:creationId xmlns:a16="http://schemas.microsoft.com/office/drawing/2014/main" id="{B9AE5B38-260C-00A0-CB69-60EA98F3C819}"/>
            </a:ext>
          </a:extLst>
        </xdr:cNvPr>
        <xdr:cNvSpPr txBox="1"/>
      </xdr:nvSpPr>
      <xdr:spPr>
        <a:xfrm>
          <a:off x="685799" y="728132"/>
          <a:ext cx="1016000" cy="3217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lumMod val="95000"/>
                </a:schemeClr>
              </a:solidFill>
              <a:latin typeface="+mn-lt"/>
            </a:rPr>
            <a:t>Calls</a:t>
          </a:r>
          <a:r>
            <a:rPr lang="en-IN" sz="1200">
              <a:latin typeface="+mn-lt"/>
            </a:rPr>
            <a:t>	</a:t>
          </a:r>
        </a:p>
      </xdr:txBody>
    </xdr:sp>
    <xdr:clientData/>
  </xdr:twoCellAnchor>
  <xdr:twoCellAnchor editAs="oneCell">
    <xdr:from>
      <xdr:col>2</xdr:col>
      <xdr:colOff>42333</xdr:colOff>
      <xdr:row>4</xdr:row>
      <xdr:rowOff>1</xdr:rowOff>
    </xdr:from>
    <xdr:to>
      <xdr:col>2</xdr:col>
      <xdr:colOff>394085</xdr:colOff>
      <xdr:row>5</xdr:row>
      <xdr:rowOff>152401</xdr:rowOff>
    </xdr:to>
    <xdr:pic>
      <xdr:nvPicPr>
        <xdr:cNvPr id="4" name="Graphic 3" descr="Receiver with solid fill">
          <a:extLst>
            <a:ext uri="{FF2B5EF4-FFF2-40B4-BE49-F238E27FC236}">
              <a16:creationId xmlns:a16="http://schemas.microsoft.com/office/drawing/2014/main" id="{AC2C4B4D-3FB9-480F-8461-37F0948CAD1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465666" y="745068"/>
          <a:ext cx="351752" cy="338666"/>
        </a:xfrm>
        <a:prstGeom prst="rect">
          <a:avLst/>
        </a:prstGeom>
      </xdr:spPr>
    </xdr:pic>
    <xdr:clientData/>
  </xdr:twoCellAnchor>
  <xdr:twoCellAnchor>
    <xdr:from>
      <xdr:col>2</xdr:col>
      <xdr:colOff>347133</xdr:colOff>
      <xdr:row>7</xdr:row>
      <xdr:rowOff>160867</xdr:rowOff>
    </xdr:from>
    <xdr:to>
      <xdr:col>3</xdr:col>
      <xdr:colOff>575734</xdr:colOff>
      <xdr:row>9</xdr:row>
      <xdr:rowOff>160868</xdr:rowOff>
    </xdr:to>
    <xdr:sp macro="" textlink="Pivots!A10">
      <xdr:nvSpPr>
        <xdr:cNvPr id="6" name="TextBox 5">
          <a:extLst>
            <a:ext uri="{FF2B5EF4-FFF2-40B4-BE49-F238E27FC236}">
              <a16:creationId xmlns:a16="http://schemas.microsoft.com/office/drawing/2014/main" id="{B60FEA50-FEC7-4C58-6A35-043D95911654}"/>
            </a:ext>
          </a:extLst>
        </xdr:cNvPr>
        <xdr:cNvSpPr txBox="1"/>
      </xdr:nvSpPr>
      <xdr:spPr>
        <a:xfrm>
          <a:off x="770466" y="1464734"/>
          <a:ext cx="838201" cy="372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558809C-3654-4A22-AD8D-9298F87C19AA}" type="TxLink">
            <a:rPr lang="en-US" sz="1100" b="1" i="0" u="none" strike="noStrike">
              <a:ln>
                <a:noFill/>
              </a:ln>
              <a:solidFill>
                <a:schemeClr val="bg1">
                  <a:lumMod val="95000"/>
                </a:schemeClr>
              </a:solidFill>
              <a:latin typeface="+mn-lt"/>
              <a:ea typeface="Calibri"/>
              <a:cs typeface="Calibri"/>
            </a:rPr>
            <a:pPr algn="ctr"/>
            <a:t>189</a:t>
          </a:fld>
          <a:endParaRPr lang="en-IN" sz="1100" b="1">
            <a:ln>
              <a:noFill/>
            </a:ln>
            <a:solidFill>
              <a:schemeClr val="bg1">
                <a:lumMod val="95000"/>
              </a:schemeClr>
            </a:solidFill>
            <a:latin typeface="+mn-lt"/>
          </a:endParaRPr>
        </a:p>
      </xdr:txBody>
    </xdr:sp>
    <xdr:clientData/>
  </xdr:twoCellAnchor>
  <xdr:twoCellAnchor>
    <xdr:from>
      <xdr:col>2</xdr:col>
      <xdr:colOff>0</xdr:colOff>
      <xdr:row>11</xdr:row>
      <xdr:rowOff>0</xdr:rowOff>
    </xdr:from>
    <xdr:to>
      <xdr:col>4</xdr:col>
      <xdr:colOff>287868</xdr:colOff>
      <xdr:row>17</xdr:row>
      <xdr:rowOff>67733</xdr:rowOff>
    </xdr:to>
    <xdr:sp macro="" textlink="Pivots!B4">
      <xdr:nvSpPr>
        <xdr:cNvPr id="118" name="Rectangle 117">
          <a:extLst>
            <a:ext uri="{FF2B5EF4-FFF2-40B4-BE49-F238E27FC236}">
              <a16:creationId xmlns:a16="http://schemas.microsoft.com/office/drawing/2014/main" id="{A47E2C08-D718-4FC0-8954-367EE1BC8906}"/>
            </a:ext>
          </a:extLst>
        </xdr:cNvPr>
        <xdr:cNvSpPr/>
      </xdr:nvSpPr>
      <xdr:spPr>
        <a:xfrm>
          <a:off x="413657" y="2035629"/>
          <a:ext cx="1507068" cy="1178075"/>
        </a:xfrm>
        <a:prstGeom prst="rect">
          <a:avLst/>
        </a:prstGeom>
        <a:ln>
          <a:noFill/>
        </a:ln>
        <a:effectLst>
          <a:outerShdw blurRad="254000" dist="127000" algn="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BD6D87-4DF0-4723-A33B-FC0D85E940D3}" type="TxLink">
            <a:rPr lang="en-US" sz="2400" b="1">
              <a:solidFill>
                <a:schemeClr val="bg1">
                  <a:lumMod val="95000"/>
                </a:schemeClr>
              </a:solidFill>
              <a:latin typeface="+mn-lt"/>
              <a:ea typeface="+mn-ea"/>
              <a:cs typeface="+mn-cs"/>
            </a:rPr>
            <a:pPr marL="0" indent="0" algn="ctr"/>
            <a:t>$96,623</a:t>
          </a:fld>
          <a:endParaRPr lang="en-US" sz="2400" b="1">
            <a:solidFill>
              <a:schemeClr val="bg1">
                <a:lumMod val="95000"/>
              </a:schemeClr>
            </a:solidFill>
            <a:latin typeface="+mn-lt"/>
            <a:ea typeface="+mn-ea"/>
            <a:cs typeface="+mn-cs"/>
          </a:endParaRPr>
        </a:p>
      </xdr:txBody>
    </xdr:sp>
    <xdr:clientData/>
  </xdr:twoCellAnchor>
  <xdr:twoCellAnchor>
    <xdr:from>
      <xdr:col>2</xdr:col>
      <xdr:colOff>262467</xdr:colOff>
      <xdr:row>11</xdr:row>
      <xdr:rowOff>16932</xdr:rowOff>
    </xdr:from>
    <xdr:to>
      <xdr:col>4</xdr:col>
      <xdr:colOff>59267</xdr:colOff>
      <xdr:row>12</xdr:row>
      <xdr:rowOff>152400</xdr:rowOff>
    </xdr:to>
    <xdr:sp macro="" textlink="">
      <xdr:nvSpPr>
        <xdr:cNvPr id="119" name="TextBox 118">
          <a:extLst>
            <a:ext uri="{FF2B5EF4-FFF2-40B4-BE49-F238E27FC236}">
              <a16:creationId xmlns:a16="http://schemas.microsoft.com/office/drawing/2014/main" id="{52D07130-3770-4FDF-ADC1-547F5B2C60C8}"/>
            </a:ext>
          </a:extLst>
        </xdr:cNvPr>
        <xdr:cNvSpPr txBox="1"/>
      </xdr:nvSpPr>
      <xdr:spPr>
        <a:xfrm>
          <a:off x="685800" y="2065865"/>
          <a:ext cx="1016000" cy="3217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lumMod val="95000"/>
                </a:schemeClr>
              </a:solidFill>
              <a:latin typeface="+mn-lt"/>
              <a:ea typeface="+mn-ea"/>
              <a:cs typeface="+mn-cs"/>
            </a:rPr>
            <a:t>Amount</a:t>
          </a:r>
          <a:r>
            <a:rPr lang="en-IN" sz="1200">
              <a:latin typeface="+mn-lt"/>
            </a:rPr>
            <a:t>		</a:t>
          </a:r>
        </a:p>
      </xdr:txBody>
    </xdr:sp>
    <xdr:clientData/>
  </xdr:twoCellAnchor>
  <xdr:twoCellAnchor>
    <xdr:from>
      <xdr:col>2</xdr:col>
      <xdr:colOff>347134</xdr:colOff>
      <xdr:row>15</xdr:row>
      <xdr:rowOff>8467</xdr:rowOff>
    </xdr:from>
    <xdr:to>
      <xdr:col>3</xdr:col>
      <xdr:colOff>575735</xdr:colOff>
      <xdr:row>17</xdr:row>
      <xdr:rowOff>8468</xdr:rowOff>
    </xdr:to>
    <xdr:sp macro="" textlink="Pivots!B10">
      <xdr:nvSpPr>
        <xdr:cNvPr id="121" name="TextBox 120">
          <a:extLst>
            <a:ext uri="{FF2B5EF4-FFF2-40B4-BE49-F238E27FC236}">
              <a16:creationId xmlns:a16="http://schemas.microsoft.com/office/drawing/2014/main" id="{DB0DE4C0-8870-4323-AFF6-F0F32008B80B}"/>
            </a:ext>
          </a:extLst>
        </xdr:cNvPr>
        <xdr:cNvSpPr txBox="1"/>
      </xdr:nvSpPr>
      <xdr:spPr>
        <a:xfrm>
          <a:off x="770467" y="2802467"/>
          <a:ext cx="838201" cy="372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314E80D-87A5-428F-A0D7-6BCF6FF022FC}" type="TxLink">
            <a:rPr lang="en-US" sz="1100" b="1" i="0" u="none" strike="noStrike">
              <a:ln>
                <a:noFill/>
              </a:ln>
              <a:solidFill>
                <a:schemeClr val="bg1">
                  <a:lumMod val="95000"/>
                </a:schemeClr>
              </a:solidFill>
              <a:latin typeface="+mn-lt"/>
              <a:ea typeface="Calibri"/>
              <a:cs typeface="Calibri"/>
            </a:rPr>
            <a:pPr marL="0" indent="0" algn="ctr"/>
            <a:t>$18,415</a:t>
          </a:fld>
          <a:endParaRPr lang="en-IN" sz="1100" b="1" i="0" u="none" strike="noStrike">
            <a:ln>
              <a:noFill/>
            </a:ln>
            <a:solidFill>
              <a:schemeClr val="bg1">
                <a:lumMod val="95000"/>
              </a:schemeClr>
            </a:solidFill>
            <a:latin typeface="+mn-lt"/>
            <a:ea typeface="Calibri"/>
            <a:cs typeface="Calibri"/>
          </a:endParaRPr>
        </a:p>
      </xdr:txBody>
    </xdr:sp>
    <xdr:clientData/>
  </xdr:twoCellAnchor>
  <xdr:twoCellAnchor>
    <xdr:from>
      <xdr:col>2</xdr:col>
      <xdr:colOff>0</xdr:colOff>
      <xdr:row>18</xdr:row>
      <xdr:rowOff>0</xdr:rowOff>
    </xdr:from>
    <xdr:to>
      <xdr:col>4</xdr:col>
      <xdr:colOff>287868</xdr:colOff>
      <xdr:row>24</xdr:row>
      <xdr:rowOff>67733</xdr:rowOff>
    </xdr:to>
    <xdr:sp macro="" textlink="Pivots!C4">
      <xdr:nvSpPr>
        <xdr:cNvPr id="122" name="Rectangle 121">
          <a:extLst>
            <a:ext uri="{FF2B5EF4-FFF2-40B4-BE49-F238E27FC236}">
              <a16:creationId xmlns:a16="http://schemas.microsoft.com/office/drawing/2014/main" id="{1C12D587-F49D-4419-8D50-6251590E958C}"/>
            </a:ext>
          </a:extLst>
        </xdr:cNvPr>
        <xdr:cNvSpPr/>
      </xdr:nvSpPr>
      <xdr:spPr>
        <a:xfrm>
          <a:off x="423333" y="3352800"/>
          <a:ext cx="1507068" cy="1185333"/>
        </a:xfrm>
        <a:prstGeom prst="rect">
          <a:avLst/>
        </a:prstGeom>
        <a:ln>
          <a:noFill/>
        </a:ln>
        <a:effectLst>
          <a:outerShdw blurRad="254000" dist="127000" algn="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40E2720-E1B7-4862-9203-D6BA4394D4C8}" type="TxLink">
            <a:rPr lang="en-US" sz="2400" b="1">
              <a:solidFill>
                <a:schemeClr val="bg1">
                  <a:lumMod val="95000"/>
                </a:schemeClr>
              </a:solidFill>
              <a:latin typeface="+mn-lt"/>
              <a:ea typeface="+mn-ea"/>
              <a:cs typeface="+mn-cs"/>
            </a:rPr>
            <a:pPr marL="0" indent="0" algn="ctr"/>
            <a:t>89,850</a:t>
          </a:fld>
          <a:endParaRPr lang="en-US" sz="2400" b="1">
            <a:solidFill>
              <a:schemeClr val="bg1">
                <a:lumMod val="95000"/>
              </a:schemeClr>
            </a:solidFill>
            <a:latin typeface="+mn-lt"/>
            <a:ea typeface="+mn-ea"/>
            <a:cs typeface="+mn-cs"/>
          </a:endParaRPr>
        </a:p>
      </xdr:txBody>
    </xdr:sp>
    <xdr:clientData/>
  </xdr:twoCellAnchor>
  <xdr:twoCellAnchor>
    <xdr:from>
      <xdr:col>2</xdr:col>
      <xdr:colOff>262467</xdr:colOff>
      <xdr:row>18</xdr:row>
      <xdr:rowOff>16932</xdr:rowOff>
    </xdr:from>
    <xdr:to>
      <xdr:col>4</xdr:col>
      <xdr:colOff>59267</xdr:colOff>
      <xdr:row>19</xdr:row>
      <xdr:rowOff>152400</xdr:rowOff>
    </xdr:to>
    <xdr:sp macro="" textlink="">
      <xdr:nvSpPr>
        <xdr:cNvPr id="123" name="TextBox 122">
          <a:extLst>
            <a:ext uri="{FF2B5EF4-FFF2-40B4-BE49-F238E27FC236}">
              <a16:creationId xmlns:a16="http://schemas.microsoft.com/office/drawing/2014/main" id="{28ACD31C-1F20-46F8-AE09-BD58312117EC}"/>
            </a:ext>
          </a:extLst>
        </xdr:cNvPr>
        <xdr:cNvSpPr txBox="1"/>
      </xdr:nvSpPr>
      <xdr:spPr>
        <a:xfrm>
          <a:off x="685800" y="3369732"/>
          <a:ext cx="1016000" cy="3217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lumMod val="95000"/>
                </a:schemeClr>
              </a:solidFill>
              <a:latin typeface="+mn-lt"/>
            </a:rPr>
            <a:t>Duration	</a:t>
          </a:r>
          <a:r>
            <a:rPr lang="en-IN" sz="1200">
              <a:latin typeface="+mn-lt"/>
            </a:rPr>
            <a:t>	</a:t>
          </a:r>
        </a:p>
      </xdr:txBody>
    </xdr:sp>
    <xdr:clientData/>
  </xdr:twoCellAnchor>
  <xdr:twoCellAnchor>
    <xdr:from>
      <xdr:col>2</xdr:col>
      <xdr:colOff>347134</xdr:colOff>
      <xdr:row>22</xdr:row>
      <xdr:rowOff>8467</xdr:rowOff>
    </xdr:from>
    <xdr:to>
      <xdr:col>3</xdr:col>
      <xdr:colOff>575735</xdr:colOff>
      <xdr:row>24</xdr:row>
      <xdr:rowOff>8468</xdr:rowOff>
    </xdr:to>
    <xdr:sp macro="" textlink="Pivots!C10">
      <xdr:nvSpPr>
        <xdr:cNvPr id="125" name="TextBox 124">
          <a:extLst>
            <a:ext uri="{FF2B5EF4-FFF2-40B4-BE49-F238E27FC236}">
              <a16:creationId xmlns:a16="http://schemas.microsoft.com/office/drawing/2014/main" id="{91411877-7396-4447-9620-C34595DA0E38}"/>
            </a:ext>
          </a:extLst>
        </xdr:cNvPr>
        <xdr:cNvSpPr txBox="1"/>
      </xdr:nvSpPr>
      <xdr:spPr>
        <a:xfrm>
          <a:off x="770467" y="4106334"/>
          <a:ext cx="838201" cy="372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CDF667C-6E4A-463F-A2DD-B437B533E655}" type="TxLink">
            <a:rPr lang="en-US" sz="1100" b="1" i="0" u="none" strike="noStrike">
              <a:ln>
                <a:noFill/>
              </a:ln>
              <a:solidFill>
                <a:schemeClr val="bg1">
                  <a:lumMod val="95000"/>
                </a:schemeClr>
              </a:solidFill>
              <a:latin typeface="+mn-lt"/>
              <a:ea typeface="Calibri"/>
              <a:cs typeface="Calibri"/>
            </a:rPr>
            <a:pPr marL="0" indent="0" algn="ctr"/>
            <a:t>16,834</a:t>
          </a:fld>
          <a:endParaRPr lang="en-IN" sz="1100" b="1" i="0" u="none" strike="noStrike">
            <a:ln>
              <a:noFill/>
            </a:ln>
            <a:solidFill>
              <a:schemeClr val="bg1">
                <a:lumMod val="95000"/>
              </a:schemeClr>
            </a:solidFill>
            <a:latin typeface="+mn-lt"/>
            <a:ea typeface="Calibri"/>
            <a:cs typeface="Calibri"/>
          </a:endParaRPr>
        </a:p>
      </xdr:txBody>
    </xdr:sp>
    <xdr:clientData/>
  </xdr:twoCellAnchor>
  <xdr:twoCellAnchor>
    <xdr:from>
      <xdr:col>2</xdr:col>
      <xdr:colOff>0</xdr:colOff>
      <xdr:row>25</xdr:row>
      <xdr:rowOff>0</xdr:rowOff>
    </xdr:from>
    <xdr:to>
      <xdr:col>4</xdr:col>
      <xdr:colOff>287868</xdr:colOff>
      <xdr:row>31</xdr:row>
      <xdr:rowOff>67733</xdr:rowOff>
    </xdr:to>
    <xdr:sp macro="" textlink="Pivots!$D$4">
      <xdr:nvSpPr>
        <xdr:cNvPr id="126" name="Rectangle 125">
          <a:extLst>
            <a:ext uri="{FF2B5EF4-FFF2-40B4-BE49-F238E27FC236}">
              <a16:creationId xmlns:a16="http://schemas.microsoft.com/office/drawing/2014/main" id="{303A4B25-E231-49CC-AD70-B9FF201B8AA0}"/>
            </a:ext>
          </a:extLst>
        </xdr:cNvPr>
        <xdr:cNvSpPr/>
      </xdr:nvSpPr>
      <xdr:spPr>
        <a:xfrm>
          <a:off x="423333" y="4656667"/>
          <a:ext cx="1507068" cy="1185333"/>
        </a:xfrm>
        <a:prstGeom prst="rect">
          <a:avLst/>
        </a:prstGeom>
        <a:ln>
          <a:noFill/>
        </a:ln>
        <a:effectLst>
          <a:outerShdw blurRad="254000" dist="127000" algn="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DE8EE53-547D-4484-926D-2DFB6982ED89}" type="TxLink">
            <a:rPr lang="en-US" sz="2400" b="1">
              <a:solidFill>
                <a:schemeClr val="bg1">
                  <a:lumMod val="95000"/>
                </a:schemeClr>
              </a:solidFill>
              <a:latin typeface="+mn-lt"/>
              <a:ea typeface="+mn-ea"/>
              <a:cs typeface="+mn-cs"/>
            </a:rPr>
            <a:pPr marL="0" indent="0" algn="ctr"/>
            <a:t>3.9</a:t>
          </a:fld>
          <a:endParaRPr lang="en-US" sz="2400" b="1">
            <a:solidFill>
              <a:schemeClr val="bg1">
                <a:lumMod val="95000"/>
              </a:schemeClr>
            </a:solidFill>
            <a:latin typeface="+mn-lt"/>
            <a:ea typeface="+mn-ea"/>
            <a:cs typeface="+mn-cs"/>
          </a:endParaRPr>
        </a:p>
      </xdr:txBody>
    </xdr:sp>
    <xdr:clientData/>
  </xdr:twoCellAnchor>
  <xdr:twoCellAnchor>
    <xdr:from>
      <xdr:col>2</xdr:col>
      <xdr:colOff>262467</xdr:colOff>
      <xdr:row>25</xdr:row>
      <xdr:rowOff>16932</xdr:rowOff>
    </xdr:from>
    <xdr:to>
      <xdr:col>4</xdr:col>
      <xdr:colOff>59267</xdr:colOff>
      <xdr:row>26</xdr:row>
      <xdr:rowOff>152401</xdr:rowOff>
    </xdr:to>
    <xdr:sp macro="" textlink="">
      <xdr:nvSpPr>
        <xdr:cNvPr id="127" name="TextBox 126">
          <a:extLst>
            <a:ext uri="{FF2B5EF4-FFF2-40B4-BE49-F238E27FC236}">
              <a16:creationId xmlns:a16="http://schemas.microsoft.com/office/drawing/2014/main" id="{D6D56217-A34E-4354-88EF-6BAD92FB6F75}"/>
            </a:ext>
          </a:extLst>
        </xdr:cNvPr>
        <xdr:cNvSpPr txBox="1"/>
      </xdr:nvSpPr>
      <xdr:spPr>
        <a:xfrm>
          <a:off x="685800" y="4673599"/>
          <a:ext cx="1016000" cy="3217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lumMod val="95000"/>
                </a:schemeClr>
              </a:solidFill>
              <a:latin typeface="+mn-lt"/>
            </a:rPr>
            <a:t>Ratings</a:t>
          </a:r>
          <a:endParaRPr lang="en-IN" sz="1200">
            <a:latin typeface="+mn-lt"/>
          </a:endParaRPr>
        </a:p>
      </xdr:txBody>
    </xdr:sp>
    <xdr:clientData/>
  </xdr:twoCellAnchor>
  <xdr:twoCellAnchor>
    <xdr:from>
      <xdr:col>2</xdr:col>
      <xdr:colOff>347134</xdr:colOff>
      <xdr:row>29</xdr:row>
      <xdr:rowOff>8468</xdr:rowOff>
    </xdr:from>
    <xdr:to>
      <xdr:col>3</xdr:col>
      <xdr:colOff>575735</xdr:colOff>
      <xdr:row>31</xdr:row>
      <xdr:rowOff>8468</xdr:rowOff>
    </xdr:to>
    <xdr:sp macro="" textlink="Pivots!D10">
      <xdr:nvSpPr>
        <xdr:cNvPr id="129" name="TextBox 128">
          <a:extLst>
            <a:ext uri="{FF2B5EF4-FFF2-40B4-BE49-F238E27FC236}">
              <a16:creationId xmlns:a16="http://schemas.microsoft.com/office/drawing/2014/main" id="{18856F1B-CD55-4F28-8526-662EF1CAF541}"/>
            </a:ext>
          </a:extLst>
        </xdr:cNvPr>
        <xdr:cNvSpPr txBox="1"/>
      </xdr:nvSpPr>
      <xdr:spPr>
        <a:xfrm>
          <a:off x="770467" y="5410201"/>
          <a:ext cx="838201" cy="372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A77B7A3-DEA7-40E4-A7B3-04846FCCF89D}" type="TxLink">
            <a:rPr lang="en-US" sz="1100" b="1" i="0" u="none" strike="noStrike">
              <a:ln>
                <a:noFill/>
              </a:ln>
              <a:solidFill>
                <a:schemeClr val="bg1">
                  <a:lumMod val="95000"/>
                </a:schemeClr>
              </a:solidFill>
              <a:latin typeface="+mn-lt"/>
              <a:ea typeface="Calibri"/>
              <a:cs typeface="Calibri"/>
            </a:rPr>
            <a:pPr marL="0" indent="0" algn="ctr"/>
            <a:t>3.9</a:t>
          </a:fld>
          <a:endParaRPr lang="en-IN" sz="1100" b="1" i="0" u="none" strike="noStrike">
            <a:ln>
              <a:noFill/>
            </a:ln>
            <a:solidFill>
              <a:schemeClr val="bg1">
                <a:lumMod val="95000"/>
              </a:schemeClr>
            </a:solidFill>
            <a:latin typeface="+mn-lt"/>
            <a:ea typeface="Calibri"/>
            <a:cs typeface="Calibri"/>
          </a:endParaRPr>
        </a:p>
      </xdr:txBody>
    </xdr:sp>
    <xdr:clientData/>
  </xdr:twoCellAnchor>
  <xdr:twoCellAnchor>
    <xdr:from>
      <xdr:col>2</xdr:col>
      <xdr:colOff>0</xdr:colOff>
      <xdr:row>32</xdr:row>
      <xdr:rowOff>0</xdr:rowOff>
    </xdr:from>
    <xdr:to>
      <xdr:col>4</xdr:col>
      <xdr:colOff>287868</xdr:colOff>
      <xdr:row>38</xdr:row>
      <xdr:rowOff>67733</xdr:rowOff>
    </xdr:to>
    <xdr:sp macro="" textlink="Pivots!$E$4">
      <xdr:nvSpPr>
        <xdr:cNvPr id="130" name="Rectangle 129">
          <a:extLst>
            <a:ext uri="{FF2B5EF4-FFF2-40B4-BE49-F238E27FC236}">
              <a16:creationId xmlns:a16="http://schemas.microsoft.com/office/drawing/2014/main" id="{56EF67FD-ED16-4875-A36E-4ADDE9EC6924}"/>
            </a:ext>
          </a:extLst>
        </xdr:cNvPr>
        <xdr:cNvSpPr/>
      </xdr:nvSpPr>
      <xdr:spPr>
        <a:xfrm>
          <a:off x="423333" y="5960533"/>
          <a:ext cx="1507068" cy="1185333"/>
        </a:xfrm>
        <a:prstGeom prst="rect">
          <a:avLst/>
        </a:prstGeom>
        <a:ln>
          <a:noFill/>
        </a:ln>
        <a:effectLst>
          <a:outerShdw blurRad="254000" dist="127000" algn="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C6235289-8934-4109-A4E8-52CBD57FE4D2}" type="TxLink">
            <a:rPr lang="en-US" sz="2400" b="1">
              <a:solidFill>
                <a:schemeClr val="bg1">
                  <a:lumMod val="95000"/>
                </a:schemeClr>
              </a:solidFill>
              <a:latin typeface="+mn-lt"/>
              <a:ea typeface="+mn-ea"/>
              <a:cs typeface="+mn-cs"/>
            </a:rPr>
            <a:pPr marL="0" indent="0" algn="ctr"/>
            <a:t>307</a:t>
          </a:fld>
          <a:endParaRPr lang="en-US" sz="2400" b="1">
            <a:solidFill>
              <a:schemeClr val="bg1">
                <a:lumMod val="95000"/>
              </a:schemeClr>
            </a:solidFill>
            <a:latin typeface="+mn-lt"/>
            <a:ea typeface="+mn-ea"/>
            <a:cs typeface="+mn-cs"/>
          </a:endParaRPr>
        </a:p>
      </xdr:txBody>
    </xdr:sp>
    <xdr:clientData/>
  </xdr:twoCellAnchor>
  <xdr:twoCellAnchor>
    <xdr:from>
      <xdr:col>2</xdr:col>
      <xdr:colOff>273353</xdr:colOff>
      <xdr:row>32</xdr:row>
      <xdr:rowOff>16932</xdr:rowOff>
    </xdr:from>
    <xdr:to>
      <xdr:col>4</xdr:col>
      <xdr:colOff>70153</xdr:colOff>
      <xdr:row>33</xdr:row>
      <xdr:rowOff>152400</xdr:rowOff>
    </xdr:to>
    <xdr:sp macro="" textlink="">
      <xdr:nvSpPr>
        <xdr:cNvPr id="131" name="TextBox 130">
          <a:extLst>
            <a:ext uri="{FF2B5EF4-FFF2-40B4-BE49-F238E27FC236}">
              <a16:creationId xmlns:a16="http://schemas.microsoft.com/office/drawing/2014/main" id="{AC6E5B70-829D-4712-B695-CDE625F95612}"/>
            </a:ext>
          </a:extLst>
        </xdr:cNvPr>
        <xdr:cNvSpPr txBox="1"/>
      </xdr:nvSpPr>
      <xdr:spPr>
        <a:xfrm>
          <a:off x="687010" y="5938761"/>
          <a:ext cx="1016000" cy="32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lumMod val="95000"/>
                </a:schemeClr>
              </a:solidFill>
              <a:latin typeface="+mn-lt"/>
              <a:ea typeface="+mn-ea"/>
              <a:cs typeface="+mn-cs"/>
            </a:rPr>
            <a:t>Rating</a:t>
          </a:r>
          <a:r>
            <a:rPr lang="en-IN" sz="1800" b="0" baseline="0">
              <a:solidFill>
                <a:schemeClr val="dk1"/>
              </a:solidFill>
              <a:latin typeface="+mn-lt"/>
              <a:ea typeface="+mn-ea"/>
              <a:cs typeface="+mn-cs"/>
            </a:rPr>
            <a:t> </a:t>
          </a:r>
          <a:r>
            <a:rPr lang="en-IN" sz="1800" b="1" baseline="0">
              <a:solidFill>
                <a:schemeClr val="bg1">
                  <a:lumMod val="95000"/>
                </a:schemeClr>
              </a:solidFill>
              <a:latin typeface="+mn-lt"/>
              <a:ea typeface="+mn-ea"/>
              <a:cs typeface="+mn-cs"/>
            </a:rPr>
            <a:t>5</a:t>
          </a:r>
          <a:r>
            <a:rPr lang="en-IN" sz="1200" b="0" baseline="0">
              <a:solidFill>
                <a:schemeClr val="dk1"/>
              </a:solidFill>
              <a:latin typeface="+mn-lt"/>
              <a:ea typeface="+mn-ea"/>
              <a:cs typeface="+mn-cs"/>
            </a:rPr>
            <a:t>	</a:t>
          </a:r>
          <a:endParaRPr lang="en-IN" sz="1600" b="1">
            <a:solidFill>
              <a:schemeClr val="bg1">
                <a:lumMod val="95000"/>
              </a:schemeClr>
            </a:solidFill>
            <a:latin typeface="+mn-lt"/>
            <a:ea typeface="+mn-ea"/>
            <a:cs typeface="+mn-cs"/>
          </a:endParaRPr>
        </a:p>
      </xdr:txBody>
    </xdr:sp>
    <xdr:clientData/>
  </xdr:twoCellAnchor>
  <xdr:twoCellAnchor>
    <xdr:from>
      <xdr:col>2</xdr:col>
      <xdr:colOff>347134</xdr:colOff>
      <xdr:row>36</xdr:row>
      <xdr:rowOff>8467</xdr:rowOff>
    </xdr:from>
    <xdr:to>
      <xdr:col>3</xdr:col>
      <xdr:colOff>575735</xdr:colOff>
      <xdr:row>38</xdr:row>
      <xdr:rowOff>8468</xdr:rowOff>
    </xdr:to>
    <xdr:sp macro="" textlink="Pivots!$E$10">
      <xdr:nvSpPr>
        <xdr:cNvPr id="133" name="TextBox 132">
          <a:extLst>
            <a:ext uri="{FF2B5EF4-FFF2-40B4-BE49-F238E27FC236}">
              <a16:creationId xmlns:a16="http://schemas.microsoft.com/office/drawing/2014/main" id="{CD113885-82E1-49D8-8F23-2F8133863BB0}"/>
            </a:ext>
          </a:extLst>
        </xdr:cNvPr>
        <xdr:cNvSpPr txBox="1"/>
      </xdr:nvSpPr>
      <xdr:spPr>
        <a:xfrm>
          <a:off x="770467" y="6714067"/>
          <a:ext cx="838201" cy="3725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FB58900-706F-4314-AC46-BB4EE4FF4855}" type="TxLink">
            <a:rPr lang="en-US" sz="1100" b="1" i="0" u="none" strike="noStrike">
              <a:ln>
                <a:noFill/>
              </a:ln>
              <a:solidFill>
                <a:schemeClr val="bg1">
                  <a:lumMod val="95000"/>
                </a:schemeClr>
              </a:solidFill>
              <a:latin typeface="+mn-lt"/>
              <a:ea typeface="Calibri"/>
              <a:cs typeface="Calibri"/>
            </a:rPr>
            <a:pPr marL="0" indent="0" algn="ctr"/>
            <a:t>60</a:t>
          </a:fld>
          <a:endParaRPr lang="en-IN" sz="1100" b="1" i="0" u="none" strike="noStrike">
            <a:ln>
              <a:noFill/>
            </a:ln>
            <a:solidFill>
              <a:schemeClr val="bg1">
                <a:lumMod val="95000"/>
              </a:schemeClr>
            </a:solidFill>
            <a:latin typeface="+mn-lt"/>
            <a:ea typeface="Calibri"/>
            <a:cs typeface="Calibri"/>
          </a:endParaRPr>
        </a:p>
      </xdr:txBody>
    </xdr:sp>
    <xdr:clientData/>
  </xdr:twoCellAnchor>
  <xdr:twoCellAnchor editAs="oneCell">
    <xdr:from>
      <xdr:col>2</xdr:col>
      <xdr:colOff>21772</xdr:colOff>
      <xdr:row>11</xdr:row>
      <xdr:rowOff>21770</xdr:rowOff>
    </xdr:from>
    <xdr:to>
      <xdr:col>2</xdr:col>
      <xdr:colOff>391887</xdr:colOff>
      <xdr:row>13</xdr:row>
      <xdr:rowOff>1117</xdr:rowOff>
    </xdr:to>
    <xdr:pic>
      <xdr:nvPicPr>
        <xdr:cNvPr id="134" name="Graphic 133" descr="Shopping cart with solid fill">
          <a:extLst>
            <a:ext uri="{FF2B5EF4-FFF2-40B4-BE49-F238E27FC236}">
              <a16:creationId xmlns:a16="http://schemas.microsoft.com/office/drawing/2014/main" id="{B1348B57-3590-4783-8136-5D59EBAE17F6}"/>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435429" y="2057399"/>
          <a:ext cx="370115" cy="349461"/>
        </a:xfrm>
        <a:prstGeom prst="rect">
          <a:avLst/>
        </a:prstGeom>
      </xdr:spPr>
    </xdr:pic>
    <xdr:clientData/>
  </xdr:twoCellAnchor>
  <xdr:twoCellAnchor editAs="oneCell">
    <xdr:from>
      <xdr:col>1</xdr:col>
      <xdr:colOff>152400</xdr:colOff>
      <xdr:row>18</xdr:row>
      <xdr:rowOff>43543</xdr:rowOff>
    </xdr:from>
    <xdr:to>
      <xdr:col>2</xdr:col>
      <xdr:colOff>332967</xdr:colOff>
      <xdr:row>20</xdr:row>
      <xdr:rowOff>10886</xdr:rowOff>
    </xdr:to>
    <xdr:pic>
      <xdr:nvPicPr>
        <xdr:cNvPr id="135" name="Graphic 134" descr="Hourglass Finished with solid fill">
          <a:extLst>
            <a:ext uri="{FF2B5EF4-FFF2-40B4-BE49-F238E27FC236}">
              <a16:creationId xmlns:a16="http://schemas.microsoft.com/office/drawing/2014/main" id="{96D79E3A-AEB3-4EFB-A508-858D4CA3A7F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402771" y="3374572"/>
          <a:ext cx="343853" cy="337457"/>
        </a:xfrm>
        <a:prstGeom prst="rect">
          <a:avLst/>
        </a:prstGeom>
      </xdr:spPr>
    </xdr:pic>
    <xdr:clientData/>
  </xdr:twoCellAnchor>
  <xdr:twoCellAnchor editAs="oneCell">
    <xdr:from>
      <xdr:col>2</xdr:col>
      <xdr:colOff>10888</xdr:colOff>
      <xdr:row>24</xdr:row>
      <xdr:rowOff>152400</xdr:rowOff>
    </xdr:from>
    <xdr:to>
      <xdr:col>2</xdr:col>
      <xdr:colOff>422368</xdr:colOff>
      <xdr:row>26</xdr:row>
      <xdr:rowOff>140425</xdr:rowOff>
    </xdr:to>
    <xdr:pic>
      <xdr:nvPicPr>
        <xdr:cNvPr id="136" name="Graphic 135" descr="Rating Star with solid fill">
          <a:extLst>
            <a:ext uri="{FF2B5EF4-FFF2-40B4-BE49-F238E27FC236}">
              <a16:creationId xmlns:a16="http://schemas.microsoft.com/office/drawing/2014/main" id="{B29C0F3D-5FE0-40CC-BD04-2A5F8E85AB2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424545" y="4593771"/>
          <a:ext cx="411480" cy="396240"/>
        </a:xfrm>
        <a:prstGeom prst="rect">
          <a:avLst/>
        </a:prstGeom>
      </xdr:spPr>
    </xdr:pic>
    <xdr:clientData/>
  </xdr:twoCellAnchor>
  <xdr:twoCellAnchor editAs="oneCell">
    <xdr:from>
      <xdr:col>1</xdr:col>
      <xdr:colOff>152400</xdr:colOff>
      <xdr:row>32</xdr:row>
      <xdr:rowOff>10885</xdr:rowOff>
    </xdr:from>
    <xdr:to>
      <xdr:col>2</xdr:col>
      <xdr:colOff>398764</xdr:colOff>
      <xdr:row>33</xdr:row>
      <xdr:rowOff>197106</xdr:rowOff>
    </xdr:to>
    <xdr:pic>
      <xdr:nvPicPr>
        <xdr:cNvPr id="137" name="Graphic 136" descr="Star-struck face outline with solid fill">
          <a:extLst>
            <a:ext uri="{FF2B5EF4-FFF2-40B4-BE49-F238E27FC236}">
              <a16:creationId xmlns:a16="http://schemas.microsoft.com/office/drawing/2014/main" id="{E39B2DEB-65A5-458F-8829-6B9B64EFCA6A}"/>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402771" y="5932714"/>
          <a:ext cx="409650" cy="394410"/>
        </a:xfrm>
        <a:prstGeom prst="rect">
          <a:avLst/>
        </a:prstGeom>
      </xdr:spPr>
    </xdr:pic>
    <xdr:clientData/>
  </xdr:twoCellAnchor>
  <xdr:twoCellAnchor>
    <xdr:from>
      <xdr:col>12</xdr:col>
      <xdr:colOff>277586</xdr:colOff>
      <xdr:row>5</xdr:row>
      <xdr:rowOff>57149</xdr:rowOff>
    </xdr:from>
    <xdr:to>
      <xdr:col>17</xdr:col>
      <xdr:colOff>28575</xdr:colOff>
      <xdr:row>17</xdr:row>
      <xdr:rowOff>38100</xdr:rowOff>
    </xdr:to>
    <xdr:graphicFrame macro="">
      <xdr:nvGraphicFramePr>
        <xdr:cNvPr id="143" name="Chart 142">
          <a:extLst>
            <a:ext uri="{FF2B5EF4-FFF2-40B4-BE49-F238E27FC236}">
              <a16:creationId xmlns:a16="http://schemas.microsoft.com/office/drawing/2014/main" id="{29B2BF83-228E-4945-8163-C20C8847D4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598715</xdr:colOff>
      <xdr:row>3</xdr:row>
      <xdr:rowOff>152401</xdr:rowOff>
    </xdr:from>
    <xdr:to>
      <xdr:col>12</xdr:col>
      <xdr:colOff>293915</xdr:colOff>
      <xdr:row>18</xdr:row>
      <xdr:rowOff>119743</xdr:rowOff>
    </xdr:to>
    <xdr:graphicFrame macro="">
      <xdr:nvGraphicFramePr>
        <xdr:cNvPr id="12" name="Chart 11">
          <a:extLst>
            <a:ext uri="{FF2B5EF4-FFF2-40B4-BE49-F238E27FC236}">
              <a16:creationId xmlns:a16="http://schemas.microsoft.com/office/drawing/2014/main" id="{5DAAA477-A7A1-40F4-B430-DFD77474D3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xdr:col>
      <xdr:colOff>0</xdr:colOff>
      <xdr:row>20</xdr:row>
      <xdr:rowOff>28575</xdr:rowOff>
    </xdr:from>
    <xdr:to>
      <xdr:col>11</xdr:col>
      <xdr:colOff>453736</xdr:colOff>
      <xdr:row>38</xdr:row>
      <xdr:rowOff>0</xdr:rowOff>
    </xdr:to>
    <xdr:graphicFrame macro="">
      <xdr:nvGraphicFramePr>
        <xdr:cNvPr id="13" name="Chart 12">
          <a:extLst>
            <a:ext uri="{FF2B5EF4-FFF2-40B4-BE49-F238E27FC236}">
              <a16:creationId xmlns:a16="http://schemas.microsoft.com/office/drawing/2014/main" id="{2B1B3C79-D355-4878-9BAF-7ED92D786E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252847</xdr:colOff>
      <xdr:row>3</xdr:row>
      <xdr:rowOff>152400</xdr:rowOff>
    </xdr:from>
    <xdr:to>
      <xdr:col>23</xdr:col>
      <xdr:colOff>0</xdr:colOff>
      <xdr:row>18</xdr:row>
      <xdr:rowOff>57150</xdr:rowOff>
    </xdr:to>
    <xdr:graphicFrame macro="">
      <xdr:nvGraphicFramePr>
        <xdr:cNvPr id="16" name="Chart 15">
          <a:extLst>
            <a:ext uri="{FF2B5EF4-FFF2-40B4-BE49-F238E27FC236}">
              <a16:creationId xmlns:a16="http://schemas.microsoft.com/office/drawing/2014/main" id="{349B0BA7-4AF9-4FC8-BE5B-6E7A0A432F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23</xdr:col>
      <xdr:colOff>142875</xdr:colOff>
      <xdr:row>3</xdr:row>
      <xdr:rowOff>133351</xdr:rowOff>
    </xdr:from>
    <xdr:to>
      <xdr:col>27</xdr:col>
      <xdr:colOff>302202</xdr:colOff>
      <xdr:row>18</xdr:row>
      <xdr:rowOff>66676</xdr:rowOff>
    </xdr:to>
    <xdr:graphicFrame macro="">
      <xdr:nvGraphicFramePr>
        <xdr:cNvPr id="17" name="Chart 16">
          <a:extLst>
            <a:ext uri="{FF2B5EF4-FFF2-40B4-BE49-F238E27FC236}">
              <a16:creationId xmlns:a16="http://schemas.microsoft.com/office/drawing/2014/main" id="{56614F20-ED34-4E5C-B6D1-3299885B10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335974</xdr:colOff>
      <xdr:row>33</xdr:row>
      <xdr:rowOff>65810</xdr:rowOff>
    </xdr:from>
    <xdr:to>
      <xdr:col>14</xdr:col>
      <xdr:colOff>180110</xdr:colOff>
      <xdr:row>46</xdr:row>
      <xdr:rowOff>83128</xdr:rowOff>
    </xdr:to>
    <xdr:graphicFrame macro="">
      <xdr:nvGraphicFramePr>
        <xdr:cNvPr id="2" name="Chart 1">
          <a:extLst>
            <a:ext uri="{FF2B5EF4-FFF2-40B4-BE49-F238E27FC236}">
              <a16:creationId xmlns:a16="http://schemas.microsoft.com/office/drawing/2014/main" id="{371ABA89-F81E-BA7A-852D-283DD605D3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301336</xdr:colOff>
      <xdr:row>43</xdr:row>
      <xdr:rowOff>93518</xdr:rowOff>
    </xdr:from>
    <xdr:to>
      <xdr:col>8</xdr:col>
      <xdr:colOff>699654</xdr:colOff>
      <xdr:row>56</xdr:row>
      <xdr:rowOff>76200</xdr:rowOff>
    </xdr:to>
    <xdr:graphicFrame macro="">
      <xdr:nvGraphicFramePr>
        <xdr:cNvPr id="5" name="Chart 4">
          <a:extLst>
            <a:ext uri="{FF2B5EF4-FFF2-40B4-BE49-F238E27FC236}">
              <a16:creationId xmlns:a16="http://schemas.microsoft.com/office/drawing/2014/main" id="{25655438-302B-28BA-3035-F1121D2514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529936</xdr:colOff>
      <xdr:row>11</xdr:row>
      <xdr:rowOff>51954</xdr:rowOff>
    </xdr:from>
    <xdr:to>
      <xdr:col>14</xdr:col>
      <xdr:colOff>834736</xdr:colOff>
      <xdr:row>26</xdr:row>
      <xdr:rowOff>93518</xdr:rowOff>
    </xdr:to>
    <xdr:graphicFrame macro="">
      <xdr:nvGraphicFramePr>
        <xdr:cNvPr id="8" name="Chart 7">
          <a:extLst>
            <a:ext uri="{FF2B5EF4-FFF2-40B4-BE49-F238E27FC236}">
              <a16:creationId xmlns:a16="http://schemas.microsoft.com/office/drawing/2014/main" id="{63102AFE-22D8-6DE7-7D21-73FBF35415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474519</xdr:colOff>
      <xdr:row>57</xdr:row>
      <xdr:rowOff>24246</xdr:rowOff>
    </xdr:from>
    <xdr:to>
      <xdr:col>8</xdr:col>
      <xdr:colOff>1219200</xdr:colOff>
      <xdr:row>72</xdr:row>
      <xdr:rowOff>65809</xdr:rowOff>
    </xdr:to>
    <xdr:graphicFrame macro="">
      <xdr:nvGraphicFramePr>
        <xdr:cNvPr id="9" name="Chart 8">
          <a:extLst>
            <a:ext uri="{FF2B5EF4-FFF2-40B4-BE49-F238E27FC236}">
              <a16:creationId xmlns:a16="http://schemas.microsoft.com/office/drawing/2014/main" id="{93A2918B-A77E-4338-484F-4AAE60FED2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131618</xdr:colOff>
      <xdr:row>75</xdr:row>
      <xdr:rowOff>110835</xdr:rowOff>
    </xdr:from>
    <xdr:to>
      <xdr:col>7</xdr:col>
      <xdr:colOff>886691</xdr:colOff>
      <xdr:row>89</xdr:row>
      <xdr:rowOff>131617</xdr:rowOff>
    </xdr:to>
    <xdr:graphicFrame macro="">
      <xdr:nvGraphicFramePr>
        <xdr:cNvPr id="10" name="Chart 9">
          <a:extLst>
            <a:ext uri="{FF2B5EF4-FFF2-40B4-BE49-F238E27FC236}">
              <a16:creationId xmlns:a16="http://schemas.microsoft.com/office/drawing/2014/main" id="{B64A672D-DD49-6DCB-FABF-C99FA68679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5942.579411226849" backgroundQuery="1" createdVersion="8" refreshedVersion="8" minRefreshableVersion="3" recordCount="0" supportSubquery="1" supportAdvancedDrill="1" xr:uid="{C8AFA0C0-8EC4-4474-B989-70A918590DC6}">
  <cacheSource type="external" connectionId="1"/>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5942.452579398145" backgroundQuery="1" createdVersion="8" refreshedVersion="8" minRefreshableVersion="3" recordCount="0" supportSubquery="1" supportAdvancedDrill="1" xr:uid="{71282378-A947-4A92-ACAE-010D023ECE39}">
  <cacheSource type="external" connectionId="1"/>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Star Rating]" caption="5 Star Rating" numFmtId="0" hierarchy="21" level="32767"/>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Star Rating]" caption="5 Star 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5942.674343055558" backgroundQuery="1" createdVersion="8" refreshedVersion="8" minRefreshableVersion="3" recordCount="0" supportSubquery="1" supportAdvancedDrill="1" xr:uid="{14E9E348-1778-4B2A-8EBE-811B043EBBB4}">
  <cacheSource type="external" connectionId="1"/>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5942.95158148148" backgroundQuery="1" createdVersion="8" refreshedVersion="8" minRefreshableVersion="3" recordCount="0" supportSubquery="1" supportAdvancedDrill="1" xr:uid="{4D94A128-DC01-4A45-B83F-410C9B5AAE20}">
  <cacheSource type="external" connectionId="1"/>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6069.709827199076" backgroundQuery="1" createdVersion="8" refreshedVersion="8" minRefreshableVersion="3" recordCount="0" supportSubquery="1" supportAdvancedDrill="1" xr:uid="{7957F7A3-B073-431B-A4D4-061F02BD1049}">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Star Rating]" caption="5 Star Rating" numFmtId="0" hierarchy="21" level="32767"/>
    <cacheField name="[calls].[Representative].[Representative]" caption="Representative" numFmtId="0" hierarchy="3" level="1">
      <sharedItems containsSemiMixedTypes="0" containsNonDate="0" containsString="0"/>
    </cacheField>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Star Rating]" caption="5 Star 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6069.709828009261" backgroundQuery="1" createdVersion="8" refreshedVersion="8" minRefreshableVersion="3" recordCount="0" supportSubquery="1" supportAdvancedDrill="1" xr:uid="{DDDBED60-E8D3-40B9-B42C-AE8F5CC656A8}">
  <cacheSource type="external" connectionId="1"/>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33" level="32767">
      <extLst>
        <ext xmlns:x14="http://schemas.microsoft.com/office/spreadsheetml/2009/9/main" uri="{63CAB8AC-B538-458d-9737-405883B0398D}">
          <x14:cacheField ignore="1"/>
        </ext>
      </extLst>
    </cacheField>
  </cacheFields>
  <cacheHierarchies count="34">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6069.709829050924" backgroundQuery="1" createdVersion="8" refreshedVersion="8" minRefreshableVersion="3" recordCount="0" supportSubquery="1" supportAdvancedDrill="1" xr:uid="{75E8CD13-E163-48DC-A4D8-3FAB9A2D9E1D}">
  <cacheSource type="external" connectionId="1"/>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6069.70982974537" backgroundQuery="1" createdVersion="8" refreshedVersion="8" minRefreshableVersion="3" recordCount="0" supportSubquery="1" supportAdvancedDrill="1" xr:uid="{30237294-FF10-44B0-B98C-925AAB90FDBE}">
  <cacheSource type="external" connectionId="1"/>
  <cacheFields count="1">
    <cacheField name="[calls].[Representative].[Representative]" caption="Representative" numFmtId="0" hierarchy="3" level="1">
      <sharedItems count="1">
        <s v="R01"/>
      </sharedItems>
    </cacheField>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6069.709830902779" backgroundQuery="1" createdVersion="8" refreshedVersion="8" minRefreshableVersion="3" recordCount="0" supportSubquery="1" supportAdvancedDrill="1" xr:uid="{D59170F8-21A9-49BA-BD74-E883A705EF6E}">
  <cacheSource type="external" connectionId="1"/>
  <cacheFields count="3">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33">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0"/>
      </fieldsUsage>
    </cacheHierarchy>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y uniqueName="[Measures].[Count of Gedner]" caption="Count of Gedner" measure="1" displayFolder="" measureGroup="customers" count="0" hidden="1">
      <extLst>
        <ext xmlns:x15="http://schemas.microsoft.com/office/spreadsheetml/2010/11/main" uri="{B97F6D7D-B522-45F9-BDA1-12C45D357490}">
          <x15:cacheHierarchy aggregatedColumn="13"/>
        </ext>
      </extLst>
    </cacheHierarchy>
    <cacheHierarchy uniqueName="[Measures].[Count of City]" caption="Count of City" measure="1" displayFolder="" measureGroup="customers" count="0" hidden="1">
      <extLst>
        <ext xmlns:x15="http://schemas.microsoft.com/office/spreadsheetml/2010/11/main" uri="{B97F6D7D-B522-45F9-BDA1-12C45D357490}">
          <x15:cacheHierarchy aggregatedColumn="15"/>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atin Kundra" refreshedDate="45942.45257627315" backgroundQuery="1" createdVersion="3" refreshedVersion="8" minRefreshableVersion="3" recordCount="0" supportSubquery="1" supportAdvancedDrill="1" xr:uid="{E7E8D1D8-6A77-4122-93CA-6F2D2D8427D7}">
  <cacheSource type="external" connectionId="1">
    <extLst>
      <ext xmlns:x14="http://schemas.microsoft.com/office/spreadsheetml/2009/9/main" uri="{F057638F-6D5F-4e77-A914-E7F072B9BCA8}">
        <x14:sourceConnection name="ThisWorkbookDataModel"/>
      </ext>
    </extLst>
  </cacheSource>
  <cacheFields count="0"/>
  <cacheHierarchies count="31">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Star Rating]" caption="5 Star 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Purchase Amount]" caption="Sum of Purchase Amount" measure="1" displayFolder="" measureGroup="calls" count="0" hidden="1">
      <extLst>
        <ext xmlns:x15="http://schemas.microsoft.com/office/spreadsheetml/2010/11/main" uri="{B97F6D7D-B522-45F9-BDA1-12C45D357490}">
          <x15:cacheHierarchy aggregatedColumn="5"/>
        </ext>
      </extLst>
    </cacheHierarchy>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Rating rounded]" caption="Count of Rating rounded" measure="1" displayFolder="" measureGroup="calls" count="0" hidden="1">
      <extLst>
        <ext xmlns:x15="http://schemas.microsoft.com/office/spreadsheetml/2010/11/main" uri="{B97F6D7D-B522-45F9-BDA1-12C45D357490}">
          <x15:cacheHierarchy aggregatedColumn="10"/>
        </ext>
      </extLst>
    </cacheHierarchy>
    <cacheHierarchy uniqueName="[Measures].[Average of Rating rounded]" caption="Average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ustomer ID]" caption="Count of Customer ID" measure="1" displayFolder="" measureGroup="calls"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204864709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7521B3-E11E-42F0-834C-83D97268384B}" name="weekly trend" cacheId="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I14:J22" firstHeaderRow="1" firstDataRow="1" firstDataCol="1"/>
  <pivotFields count="3">
    <pivotField axis="axisRow" allDrilled="1" subtotalTop="0" showAll="0" sortType="descending" defaultSubtotal="0" defaultAttributeDrillState="1">
      <items count="7">
        <item x="2"/>
        <item x="0"/>
        <item x="4"/>
        <item x="6"/>
        <item x="5"/>
        <item x="1"/>
        <item x="3"/>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3">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40B1DC-F858-4E12-808C-61B134B9CE84}" name="PivotTable7"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60:D65"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5">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3" format="2">
      <pivotArea type="data" outline="0" fieldPosition="0">
        <references count="3">
          <reference field="4294967294" count="1" selected="0">
            <x v="0"/>
          </reference>
          <reference field="0" count="1" selected="0">
            <x v="2"/>
          </reference>
          <reference field="1" count="1" selected="0">
            <x v="1"/>
          </reference>
        </references>
      </pivotArea>
    </chartFormat>
    <chartFormat chart="6" format="5" series="1">
      <pivotArea type="data" outline="0" fieldPosition="0">
        <references count="2">
          <reference field="4294967294" count="1" selected="0">
            <x v="0"/>
          </reference>
          <reference field="1" count="1" selected="0">
            <x v="0"/>
          </reference>
        </references>
      </pivotArea>
    </chartFormat>
    <chartFormat chart="6" format="6" series="1">
      <pivotArea type="data" outline="0" fieldPosition="0">
        <references count="2">
          <reference field="4294967294" count="1" selected="0">
            <x v="0"/>
          </reference>
          <reference field="1" count="1" selected="0">
            <x v="1"/>
          </reference>
        </references>
      </pivotArea>
    </chartFormat>
  </chartFormats>
  <pivotHierarchies count="3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C202DB-A9CC-4A50-A2BF-21414E19FA53}" name="Monthly trend" cacheId="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3">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12">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1"/>
          </reference>
        </references>
      </pivotArea>
    </chartFormat>
    <chartFormat chart="22" format="0"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1"/>
          </reference>
        </references>
      </pivotArea>
    </chartFormat>
    <chartFormat chart="27" format="4" series="1">
      <pivotArea type="data" outline="0" fieldPosition="0">
        <references count="1">
          <reference field="4294967294" count="1" selected="0">
            <x v="1"/>
          </reference>
        </references>
      </pivotArea>
    </chartFormat>
    <chartFormat chart="27" format="5"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4" format="1" series="1">
      <pivotArea type="data" outline="0" fieldPosition="0">
        <references count="1">
          <reference field="4294967294" count="1" selected="0">
            <x v="1"/>
          </reference>
        </references>
      </pivotArea>
    </chartFormat>
    <chartFormat chart="40" format="4" series="1">
      <pivotArea type="data" outline="0" fieldPosition="0">
        <references count="1">
          <reference field="4294967294" count="1" selected="0">
            <x v="1"/>
          </reference>
        </references>
      </pivotArea>
    </chartFormat>
    <chartFormat chart="40" format="5"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D13918-02D2-4062-A7C9-64A790A08F6E}" name="Rep summary" cacheId="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9:E10"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33">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C329E6-EC62-4510-A1FD-B1D81479D22C}" name="Selected rep" cacheId="6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45:A4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pivotHierarchies count="3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02D868-1954-4DC7-95BB-F58094E6C605}" name="rep's pivot"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6:C42"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3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79EBEE2-938B-4F92-BBCE-87993F6632E7}" name="Summary" cacheId="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3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C20763-9586-4930-BB71-869872D7848F}" name="PivotTable10" cacheId="4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5">
  <location ref="A93:G112"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3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14DD1F-8D6C-4E39-BFA7-71780C2F033B}" name="rep rating" cacheId="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75:B81"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3">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4</v>
    <v>A person in a skirt and a cardigan
Description automatically generated</v>
  </rv>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39D8F04-94DC-43E4-AF7B-D4D8CEBB3A48}" sourceName="[calls].[Representative]">
  <pivotTables>
    <pivotTable tabId="6" name="Rep summary"/>
    <pivotTable tabId="6" name="Monthly trend"/>
    <pivotTable tabId="6" name="weekly trend"/>
    <pivotTable tabId="6" name="Selected rep"/>
    <pivotTable tabId="6" name="rep rating"/>
  </pivotTables>
  <data>
    <olap pivotCacheId="2048647094">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B15F3EC4-4F43-4FF0-927E-E7418E152E96}" cache="Slicer_Representative" caption="Representative" level="1"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4"/>
    <tableColumn id="5" xr3:uid="{5A35565E-8707-4DED-AD15-A0669D67B382}" name="Date of Call" dataDxfId="13"/>
    <tableColumn id="6" xr3:uid="{F2E4F158-B41F-47BC-8DF8-DFCADFEE4E40}" name="Purchase Amount"/>
    <tableColumn id="7" xr3:uid="{04B291B5-47BD-4F78-8FD8-D1551CCA6BD9}" name="Satisfaction Rating"/>
    <tableColumn id="8" xr3:uid="{6E4123C0-0B17-43B8-A142-A1E540CE974C}" name="FY" dataDxfId="12">
      <calculatedColumnFormula>IF(MONTH(calls[[#This Row],[Date of Call]])&lt;=6, YEAR(calls[[#This Row],[Date of Call]]), YEAR(calls[[#This Row],[Date of Call]])+1)</calculatedColumnFormula>
    </tableColumn>
    <tableColumn id="9" xr3:uid="{199FA271-5E9B-46CE-9BC6-2801F92CD17E}" name="Day of week" dataDxfId="11">
      <calculatedColumnFormula>TEXT(calls[[#This Row],[Date of Call]],"DDDD")</calculatedColumnFormula>
    </tableColumn>
    <tableColumn id="10" xr3:uid="{328CDB09-95B8-4D5E-9ED9-EF0D363735A1}" name="Duration Bucket" dataDxfId="10">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9">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8" headerRowBorderDxfId="7" tableBorderDxfId="6" totalsRowBorderDxfId="5">
  <autoFilter ref="Q3:T18" xr:uid="{27158F51-A707-4171-8A04-81FB0AABCBA5}"/>
  <tableColumns count="4">
    <tableColumn id="1" xr3:uid="{02688061-6A8C-4E23-B7FF-D00CD8B58CAC}" name="Customer ID" dataDxfId="4"/>
    <tableColumn id="2" xr3:uid="{771678B6-DB44-426B-9874-B4E421A440D5}" name="Gedner" dataDxfId="3"/>
    <tableColumn id="3" xr3:uid="{B0D41C62-587E-494D-B49A-603F2C05F8D3}" name="Age" dataDxfId="2"/>
    <tableColumn id="4" xr3:uid="{663F92D6-FE31-4D81-9E01-8D066DDC8A88}" name="City" dataDxfId="1"/>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1E84-C086-44D8-AAEC-892A45E20228}">
  <sheetPr>
    <pageSetUpPr autoPageBreaks="0"/>
  </sheetPr>
  <dimension ref="A1:AA38"/>
  <sheetViews>
    <sheetView tabSelected="1" zoomScale="80" zoomScaleNormal="80" workbookViewId="0">
      <selection sqref="A1:M3"/>
    </sheetView>
  </sheetViews>
  <sheetFormatPr defaultRowHeight="14.4" x14ac:dyDescent="0.3"/>
  <cols>
    <col min="1" max="1" width="3.6640625" style="20" customWidth="1"/>
    <col min="2" max="2" width="2.44140625" style="20" customWidth="1"/>
    <col min="3" max="20" width="8.88671875" style="20"/>
    <col min="21" max="21" width="12.6640625" style="20" customWidth="1"/>
    <col min="22" max="22" width="9.5546875" style="20" customWidth="1"/>
    <col min="23" max="30" width="8.88671875" style="20"/>
    <col min="31" max="31" width="8.88671875" style="20" customWidth="1"/>
    <col min="32" max="16384" width="8.88671875" style="20"/>
  </cols>
  <sheetData>
    <row r="1" spans="1:13" x14ac:dyDescent="0.3">
      <c r="A1" s="46" t="s">
        <v>1085</v>
      </c>
      <c r="B1" s="46"/>
      <c r="C1" s="46"/>
      <c r="D1" s="46"/>
      <c r="E1" s="46"/>
      <c r="F1" s="46"/>
      <c r="G1" s="46"/>
      <c r="H1" s="46"/>
      <c r="I1" s="46"/>
      <c r="J1" s="46"/>
      <c r="K1" s="46"/>
      <c r="L1" s="46"/>
      <c r="M1" s="46"/>
    </row>
    <row r="2" spans="1:13" x14ac:dyDescent="0.3">
      <c r="A2" s="46"/>
      <c r="B2" s="46"/>
      <c r="C2" s="46"/>
      <c r="D2" s="46"/>
      <c r="E2" s="46"/>
      <c r="F2" s="46"/>
      <c r="G2" s="46"/>
      <c r="H2" s="46"/>
      <c r="I2" s="46"/>
      <c r="J2" s="46"/>
      <c r="K2" s="46"/>
      <c r="L2" s="46"/>
      <c r="M2" s="46"/>
    </row>
    <row r="3" spans="1:13" x14ac:dyDescent="0.3">
      <c r="A3" s="46"/>
      <c r="B3" s="46"/>
      <c r="C3" s="46"/>
      <c r="D3" s="46"/>
      <c r="E3" s="46"/>
      <c r="F3" s="46"/>
      <c r="G3" s="46"/>
      <c r="H3" s="46"/>
      <c r="I3" s="46"/>
      <c r="J3" s="46"/>
      <c r="K3" s="46"/>
      <c r="L3" s="46"/>
      <c r="M3" s="46"/>
    </row>
    <row r="5" spans="1:13" x14ac:dyDescent="0.3">
      <c r="E5" s="20" t="s">
        <v>1042</v>
      </c>
    </row>
    <row r="20" spans="19:27" x14ac:dyDescent="0.3">
      <c r="U20" s="28"/>
      <c r="V20" s="37" t="str" cm="1">
        <f t="array" ref="V20:Z20">Pivots!B94:F94</f>
        <v>R01</v>
      </c>
      <c r="W20" s="37" t="str">
        <v>R02</v>
      </c>
      <c r="X20" s="37" t="str">
        <v>R03</v>
      </c>
      <c r="Y20" s="37" t="str">
        <v>R04</v>
      </c>
      <c r="Z20" s="37" t="str">
        <v>R05</v>
      </c>
      <c r="AA20" s="38" t="s">
        <v>1076</v>
      </c>
    </row>
    <row r="21" spans="19:27" x14ac:dyDescent="0.3">
      <c r="U21" s="39" t="str" cm="1">
        <f t="array" ref="U21:AA38">IF(Pivots!A95:G112=0," ",Pivots!A95:G112)</f>
        <v>Cincinnati</v>
      </c>
      <c r="V21" s="36" t="str">
        <v xml:space="preserve"> </v>
      </c>
      <c r="W21" s="36" t="str">
        <v xml:space="preserve"> </v>
      </c>
      <c r="X21" s="36" t="str">
        <v xml:space="preserve"> </v>
      </c>
      <c r="Y21" s="36" t="str">
        <v xml:space="preserve"> </v>
      </c>
      <c r="Z21" s="36" t="str">
        <v xml:space="preserve"> </v>
      </c>
      <c r="AA21" s="29" t="str">
        <v xml:space="preserve"> </v>
      </c>
    </row>
    <row r="22" spans="19:27" ht="15.6" x14ac:dyDescent="0.3">
      <c r="U22" s="30" t="str">
        <v>C0003</v>
      </c>
      <c r="V22" s="31">
        <v>891</v>
      </c>
      <c r="W22" s="31">
        <v>1332</v>
      </c>
      <c r="X22" s="31">
        <v>1282</v>
      </c>
      <c r="Y22" s="31">
        <v>739</v>
      </c>
      <c r="Z22" s="31">
        <v>560</v>
      </c>
      <c r="AA22" s="32">
        <v>4804</v>
      </c>
    </row>
    <row r="23" spans="19:27" ht="15.6" x14ac:dyDescent="0.3">
      <c r="U23" s="30" t="str">
        <v>C0004</v>
      </c>
      <c r="V23" s="31">
        <v>1991</v>
      </c>
      <c r="W23" s="31">
        <v>1886</v>
      </c>
      <c r="X23" s="31">
        <v>1206</v>
      </c>
      <c r="Y23" s="31">
        <v>884</v>
      </c>
      <c r="Z23" s="31">
        <v>1722</v>
      </c>
      <c r="AA23" s="32">
        <v>7689</v>
      </c>
    </row>
    <row r="24" spans="19:27" ht="15.6" x14ac:dyDescent="0.3">
      <c r="U24" s="30" t="str">
        <v>C0011</v>
      </c>
      <c r="V24" s="31">
        <v>1163</v>
      </c>
      <c r="W24" s="31">
        <v>1180</v>
      </c>
      <c r="X24" s="31">
        <v>1616</v>
      </c>
      <c r="Y24" s="31">
        <v>1043</v>
      </c>
      <c r="Z24" s="31">
        <v>1747</v>
      </c>
      <c r="AA24" s="32">
        <v>6749</v>
      </c>
    </row>
    <row r="25" spans="19:27" ht="15.6" x14ac:dyDescent="0.3">
      <c r="U25" s="30" t="str">
        <v>C0012</v>
      </c>
      <c r="V25" s="31">
        <v>1438</v>
      </c>
      <c r="W25" s="31">
        <v>1616</v>
      </c>
      <c r="X25" s="31">
        <v>866</v>
      </c>
      <c r="Y25" s="31">
        <v>829</v>
      </c>
      <c r="Z25" s="31">
        <v>2070</v>
      </c>
      <c r="AA25" s="32">
        <v>6819</v>
      </c>
    </row>
    <row r="26" spans="19:27" ht="15.6" x14ac:dyDescent="0.3">
      <c r="U26" s="40" t="str">
        <v>Cleveland</v>
      </c>
      <c r="V26" s="31" t="str">
        <v xml:space="preserve"> </v>
      </c>
      <c r="W26" s="31" t="str">
        <v xml:space="preserve"> </v>
      </c>
      <c r="X26" s="31" t="str">
        <v xml:space="preserve"> </v>
      </c>
      <c r="Y26" s="31" t="str">
        <v xml:space="preserve"> </v>
      </c>
      <c r="Z26" s="31" t="str">
        <v xml:space="preserve"> </v>
      </c>
      <c r="AA26" s="32" t="str">
        <v xml:space="preserve"> </v>
      </c>
    </row>
    <row r="27" spans="19:27" ht="15.6" x14ac:dyDescent="0.3">
      <c r="U27" s="30" t="str">
        <v>C0002</v>
      </c>
      <c r="V27" s="31">
        <v>1233</v>
      </c>
      <c r="W27" s="31">
        <v>223</v>
      </c>
      <c r="X27" s="31">
        <v>1680</v>
      </c>
      <c r="Y27" s="31">
        <v>990</v>
      </c>
      <c r="Z27" s="31">
        <v>1508</v>
      </c>
      <c r="AA27" s="32">
        <v>5634</v>
      </c>
    </row>
    <row r="28" spans="19:27" ht="15.6" x14ac:dyDescent="0.3">
      <c r="U28" s="30" t="str">
        <v>C0007</v>
      </c>
      <c r="V28" s="31">
        <v>1598</v>
      </c>
      <c r="W28" s="31">
        <v>1907</v>
      </c>
      <c r="X28" s="31">
        <v>869</v>
      </c>
      <c r="Y28" s="31">
        <v>1426</v>
      </c>
      <c r="Z28" s="31">
        <v>1416</v>
      </c>
      <c r="AA28" s="32">
        <v>7216</v>
      </c>
    </row>
    <row r="29" spans="19:27" ht="15.6" x14ac:dyDescent="0.3">
      <c r="U29" s="30" t="str">
        <v>C0008</v>
      </c>
      <c r="V29" s="31">
        <v>900</v>
      </c>
      <c r="W29" s="31">
        <v>1016</v>
      </c>
      <c r="X29" s="31">
        <v>960</v>
      </c>
      <c r="Y29" s="31">
        <v>940</v>
      </c>
      <c r="Z29" s="31">
        <v>1193</v>
      </c>
      <c r="AA29" s="32">
        <v>5009</v>
      </c>
    </row>
    <row r="30" spans="19:27" ht="15.6" x14ac:dyDescent="0.3">
      <c r="U30" s="30" t="str">
        <v>C0010</v>
      </c>
      <c r="V30" s="31">
        <v>900</v>
      </c>
      <c r="W30" s="31">
        <v>1470</v>
      </c>
      <c r="X30" s="31">
        <v>1617</v>
      </c>
      <c r="Y30" s="31">
        <v>1314</v>
      </c>
      <c r="Z30" s="31">
        <v>941</v>
      </c>
      <c r="AA30" s="32">
        <v>6242</v>
      </c>
    </row>
    <row r="31" spans="19:27" ht="15.6" x14ac:dyDescent="0.3">
      <c r="S31" s="42" t="e" vm="1">
        <f>Pivots!L65</f>
        <v>#VALUE!</v>
      </c>
      <c r="T31" s="43"/>
      <c r="U31" s="30" t="str">
        <v>C0013</v>
      </c>
      <c r="V31" s="31">
        <v>1255</v>
      </c>
      <c r="W31" s="31">
        <v>516</v>
      </c>
      <c r="X31" s="31">
        <v>1874</v>
      </c>
      <c r="Y31" s="31">
        <v>1863</v>
      </c>
      <c r="Z31" s="31">
        <v>1722</v>
      </c>
      <c r="AA31" s="32">
        <v>7230</v>
      </c>
    </row>
    <row r="32" spans="19:27" ht="15.6" x14ac:dyDescent="0.3">
      <c r="S32" s="42"/>
      <c r="T32" s="43"/>
      <c r="U32" s="30" t="str">
        <v>C0015</v>
      </c>
      <c r="V32" s="31">
        <v>1138</v>
      </c>
      <c r="W32" s="31">
        <v>1898</v>
      </c>
      <c r="X32" s="31">
        <v>1482</v>
      </c>
      <c r="Y32" s="31">
        <v>846</v>
      </c>
      <c r="Z32" s="31">
        <v>1154</v>
      </c>
      <c r="AA32" s="32">
        <v>6518</v>
      </c>
    </row>
    <row r="33" spans="19:27" ht="15.6" x14ac:dyDescent="0.3">
      <c r="S33" s="42"/>
      <c r="T33" s="43"/>
      <c r="U33" s="40" t="str">
        <v>Columbus</v>
      </c>
      <c r="V33" s="31" t="str">
        <v xml:space="preserve"> </v>
      </c>
      <c r="W33" s="31" t="str">
        <v xml:space="preserve"> </v>
      </c>
      <c r="X33" s="31" t="str">
        <v xml:space="preserve"> </v>
      </c>
      <c r="Y33" s="31" t="str">
        <v xml:space="preserve"> </v>
      </c>
      <c r="Z33" s="31" t="str">
        <v xml:space="preserve"> </v>
      </c>
      <c r="AA33" s="32" t="str">
        <v xml:space="preserve"> </v>
      </c>
    </row>
    <row r="34" spans="19:27" ht="15.6" x14ac:dyDescent="0.3">
      <c r="S34" s="42"/>
      <c r="T34" s="43"/>
      <c r="U34" s="30" t="str">
        <v>C0001</v>
      </c>
      <c r="V34" s="31">
        <v>1655</v>
      </c>
      <c r="W34" s="31">
        <v>805</v>
      </c>
      <c r="X34" s="31">
        <v>2263</v>
      </c>
      <c r="Y34" s="31">
        <v>987</v>
      </c>
      <c r="Z34" s="31">
        <v>1075</v>
      </c>
      <c r="AA34" s="32">
        <v>6785</v>
      </c>
    </row>
    <row r="35" spans="19:27" ht="15.6" x14ac:dyDescent="0.3">
      <c r="S35" s="42"/>
      <c r="T35" s="43"/>
      <c r="U35" s="30" t="str">
        <v>C0005</v>
      </c>
      <c r="V35" s="31">
        <v>1104</v>
      </c>
      <c r="W35" s="31">
        <v>2280</v>
      </c>
      <c r="X35" s="31">
        <v>1445</v>
      </c>
      <c r="Y35" s="31">
        <v>1722</v>
      </c>
      <c r="Z35" s="31">
        <v>1196</v>
      </c>
      <c r="AA35" s="32">
        <v>7747</v>
      </c>
    </row>
    <row r="36" spans="19:27" ht="15.6" x14ac:dyDescent="0.3">
      <c r="S36" s="44" t="str">
        <f>Pivots!L61</f>
        <v>% of calls: 19%</v>
      </c>
      <c r="T36" s="45"/>
      <c r="U36" s="30" t="str">
        <v>C0006</v>
      </c>
      <c r="V36" s="31">
        <v>372</v>
      </c>
      <c r="W36" s="31">
        <v>1818</v>
      </c>
      <c r="X36" s="31">
        <v>1346</v>
      </c>
      <c r="Y36" s="31">
        <v>1156</v>
      </c>
      <c r="Z36" s="31">
        <v>1484</v>
      </c>
      <c r="AA36" s="32">
        <v>6176</v>
      </c>
    </row>
    <row r="37" spans="19:27" ht="15.6" x14ac:dyDescent="0.3">
      <c r="S37" s="44" t="str">
        <f>Pivots!L62</f>
        <v>Call Rank: 4</v>
      </c>
      <c r="T37" s="45"/>
      <c r="U37" s="30" t="str">
        <v>C0009</v>
      </c>
      <c r="V37" s="31">
        <v>1415</v>
      </c>
      <c r="W37" s="31">
        <v>1271</v>
      </c>
      <c r="X37" s="31">
        <v>1214</v>
      </c>
      <c r="Y37" s="31">
        <v>1135</v>
      </c>
      <c r="Z37" s="31">
        <v>1566</v>
      </c>
      <c r="AA37" s="32">
        <v>6601</v>
      </c>
    </row>
    <row r="38" spans="19:27" ht="15.6" x14ac:dyDescent="0.3">
      <c r="S38" s="44" t="str">
        <f>Pivots!L63</f>
        <v>Amount Rank: 4</v>
      </c>
      <c r="T38" s="45"/>
      <c r="U38" s="33" t="str">
        <v>C0014</v>
      </c>
      <c r="V38" s="34">
        <v>1362</v>
      </c>
      <c r="W38" s="34">
        <v>1363</v>
      </c>
      <c r="X38" s="34">
        <v>1152</v>
      </c>
      <c r="Y38" s="34">
        <v>777</v>
      </c>
      <c r="Z38" s="34">
        <v>750</v>
      </c>
      <c r="AA38" s="35">
        <v>5404</v>
      </c>
    </row>
  </sheetData>
  <mergeCells count="5">
    <mergeCell ref="S31:T35"/>
    <mergeCell ref="S36:T36"/>
    <mergeCell ref="S37:T37"/>
    <mergeCell ref="S38:T38"/>
    <mergeCell ref="A1:M3"/>
  </mergeCells>
  <conditionalFormatting sqref="V21:Z38">
    <cfRule type="dataBar" priority="2">
      <dataBar>
        <cfvo type="num" val="0"/>
        <cfvo type="formula" val="MAX($V$22:$Z$38)*2"/>
        <color theme="4"/>
      </dataBar>
      <extLst>
        <ext xmlns:x14="http://schemas.microsoft.com/office/spreadsheetml/2009/9/main" uri="{B025F937-C7B1-47D3-B67F-A62EFF666E3E}">
          <x14:id>{0554270D-A8D3-468D-B492-AC78A2477645}</x14:id>
        </ext>
      </extLst>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9C6FA2FF-43D8-4B9F-9CD5-549000CDDA19}">
            <xm:f>V$20=Pivots!$A$46</xm:f>
            <x14:dxf>
              <fill>
                <patternFill>
                  <bgColor theme="4" tint="0.79998168889431442"/>
                </patternFill>
              </fill>
              <border>
                <left style="thin">
                  <color auto="1"/>
                </left>
                <right style="thin">
                  <color auto="1"/>
                </right>
                <top style="thin">
                  <color auto="1"/>
                </top>
                <bottom style="thin">
                  <color auto="1"/>
                </bottom>
                <vertical/>
                <horizontal/>
              </border>
            </x14:dxf>
          </x14:cfRule>
          <xm:sqref>V20:Z38</xm:sqref>
        </x14:conditionalFormatting>
        <x14:conditionalFormatting xmlns:xm="http://schemas.microsoft.com/office/excel/2006/main">
          <x14:cfRule type="dataBar" id="{0554270D-A8D3-468D-B492-AC78A2477645}">
            <x14:dataBar minLength="0" maxLength="100" border="1" negativeBarBorderColorSameAsPositive="0">
              <x14:cfvo type="num">
                <xm:f>0</xm:f>
              </x14:cfvo>
              <x14:cfvo type="formula">
                <xm:f>MAX($V$22:$Z$38)*2</xm:f>
              </x14:cfvo>
              <x14:borderColor rgb="FF008AEF"/>
              <x14:negativeFillColor rgb="FFFF0000"/>
              <x14:negativeBorderColor rgb="FFFF0000"/>
              <x14:axisColor rgb="FF000000"/>
            </x14:dataBar>
          </x14:cfRule>
          <xm:sqref>V21:Z38</xm:sqref>
        </x14:conditionalFormatting>
      </x14:conditionalFormattings>
    </ex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CE12C-84EB-4433-A12E-3F803A5C112C}">
  <dimension ref="A3:L112"/>
  <sheetViews>
    <sheetView topLeftCell="A19" zoomScale="110" zoomScaleNormal="110" workbookViewId="0">
      <selection activeCell="P40" sqref="P40"/>
    </sheetView>
  </sheetViews>
  <sheetFormatPr defaultRowHeight="14.4" x14ac:dyDescent="0.3"/>
  <cols>
    <col min="1" max="1" width="12.5546875" bestFit="1" customWidth="1"/>
    <col min="2" max="2" width="9.6640625" bestFit="1" customWidth="1"/>
    <col min="3" max="3" width="10.6640625" bestFit="1" customWidth="1"/>
    <col min="4" max="4" width="10" bestFit="1" customWidth="1"/>
    <col min="5" max="5" width="11.6640625" bestFit="1" customWidth="1"/>
    <col min="6" max="6" width="6.44140625" bestFit="1" customWidth="1"/>
    <col min="7" max="7" width="11" bestFit="1" customWidth="1"/>
    <col min="8" max="8" width="15.5546875" bestFit="1" customWidth="1"/>
    <col min="9" max="9" width="12.5546875" bestFit="1" customWidth="1"/>
    <col min="10" max="10" width="9.6640625" bestFit="1" customWidth="1"/>
    <col min="11" max="12" width="15.5546875" bestFit="1" customWidth="1"/>
    <col min="13" max="13" width="11" bestFit="1" customWidth="1"/>
    <col min="14" max="330" width="15.5546875" bestFit="1" customWidth="1"/>
    <col min="331" max="331" width="11" bestFit="1" customWidth="1"/>
  </cols>
  <sheetData>
    <row r="3" spans="1:10" x14ac:dyDescent="0.3">
      <c r="A3" t="s">
        <v>1043</v>
      </c>
      <c r="B3" t="s">
        <v>1044</v>
      </c>
      <c r="C3" t="s">
        <v>1045</v>
      </c>
      <c r="D3" t="s">
        <v>1046</v>
      </c>
      <c r="E3" t="s">
        <v>1047</v>
      </c>
    </row>
    <row r="4" spans="1:10" x14ac:dyDescent="0.3">
      <c r="A4" s="22">
        <v>1000</v>
      </c>
      <c r="B4" s="23">
        <v>96623</v>
      </c>
      <c r="C4" s="22">
        <v>89850</v>
      </c>
      <c r="D4" s="21">
        <v>3.8854000000000033</v>
      </c>
      <c r="E4" s="22">
        <v>307</v>
      </c>
    </row>
    <row r="9" spans="1:10" x14ac:dyDescent="0.3">
      <c r="A9" t="s">
        <v>1043</v>
      </c>
      <c r="B9" t="s">
        <v>1044</v>
      </c>
      <c r="C9" t="s">
        <v>1045</v>
      </c>
      <c r="D9" t="s">
        <v>1046</v>
      </c>
      <c r="E9" t="s">
        <v>1047</v>
      </c>
    </row>
    <row r="10" spans="1:10" x14ac:dyDescent="0.3">
      <c r="A10" s="22">
        <v>189</v>
      </c>
      <c r="B10" s="23">
        <v>18415</v>
      </c>
      <c r="C10" s="22">
        <v>16834</v>
      </c>
      <c r="D10" s="21">
        <v>3.9227513227513247</v>
      </c>
      <c r="E10" s="22">
        <v>60</v>
      </c>
    </row>
    <row r="14" spans="1:10" x14ac:dyDescent="0.3">
      <c r="I14" s="24" t="s">
        <v>1048</v>
      </c>
      <c r="J14" t="s">
        <v>1043</v>
      </c>
    </row>
    <row r="15" spans="1:10" x14ac:dyDescent="0.3">
      <c r="A15" s="24" t="s">
        <v>1048</v>
      </c>
      <c r="B15" t="s">
        <v>1043</v>
      </c>
      <c r="C15" t="s">
        <v>1062</v>
      </c>
      <c r="I15" s="25" t="s">
        <v>1065</v>
      </c>
      <c r="J15" s="22">
        <v>40</v>
      </c>
    </row>
    <row r="16" spans="1:10" x14ac:dyDescent="0.3">
      <c r="A16" s="25" t="s">
        <v>1050</v>
      </c>
      <c r="B16" s="22">
        <v>16</v>
      </c>
      <c r="C16" s="22">
        <v>16</v>
      </c>
      <c r="I16" s="25" t="s">
        <v>1063</v>
      </c>
      <c r="J16" s="22">
        <v>24</v>
      </c>
    </row>
    <row r="17" spans="1:10" x14ac:dyDescent="0.3">
      <c r="A17" s="25" t="s">
        <v>1051</v>
      </c>
      <c r="B17" s="22">
        <v>14</v>
      </c>
      <c r="C17" s="22">
        <v>14</v>
      </c>
      <c r="I17" s="25" t="s">
        <v>1067</v>
      </c>
      <c r="J17" s="22">
        <v>23</v>
      </c>
    </row>
    <row r="18" spans="1:10" x14ac:dyDescent="0.3">
      <c r="A18" s="25" t="s">
        <v>1052</v>
      </c>
      <c r="B18" s="22">
        <v>26</v>
      </c>
      <c r="C18" s="22">
        <v>26</v>
      </c>
      <c r="I18" s="25" t="s">
        <v>1069</v>
      </c>
      <c r="J18" s="22">
        <v>23</v>
      </c>
    </row>
    <row r="19" spans="1:10" x14ac:dyDescent="0.3">
      <c r="A19" s="25" t="s">
        <v>1053</v>
      </c>
      <c r="B19" s="22">
        <v>29</v>
      </c>
      <c r="C19" s="22">
        <v>29</v>
      </c>
      <c r="I19" s="25" t="s">
        <v>1068</v>
      </c>
      <c r="J19" s="22">
        <v>13</v>
      </c>
    </row>
    <row r="20" spans="1:10" x14ac:dyDescent="0.3">
      <c r="A20" s="25" t="s">
        <v>1054</v>
      </c>
      <c r="B20" s="22">
        <v>17</v>
      </c>
      <c r="C20" s="22">
        <v>17</v>
      </c>
      <c r="I20" s="25" t="s">
        <v>1064</v>
      </c>
      <c r="J20" s="22">
        <v>30</v>
      </c>
    </row>
    <row r="21" spans="1:10" x14ac:dyDescent="0.3">
      <c r="A21" s="25" t="s">
        <v>1055</v>
      </c>
      <c r="B21" s="22">
        <v>15</v>
      </c>
      <c r="C21" s="22">
        <v>15</v>
      </c>
      <c r="I21" s="25" t="s">
        <v>1066</v>
      </c>
      <c r="J21" s="22">
        <v>36</v>
      </c>
    </row>
    <row r="22" spans="1:10" x14ac:dyDescent="0.3">
      <c r="A22" s="25" t="s">
        <v>1056</v>
      </c>
      <c r="B22" s="22">
        <v>15</v>
      </c>
      <c r="C22" s="22">
        <v>15</v>
      </c>
      <c r="I22" s="25" t="s">
        <v>1049</v>
      </c>
      <c r="J22" s="22">
        <v>189</v>
      </c>
    </row>
    <row r="23" spans="1:10" x14ac:dyDescent="0.3">
      <c r="A23" s="25" t="s">
        <v>1057</v>
      </c>
      <c r="B23" s="22">
        <v>7</v>
      </c>
      <c r="C23" s="22">
        <v>7</v>
      </c>
    </row>
    <row r="24" spans="1:10" x14ac:dyDescent="0.3">
      <c r="A24" s="25" t="s">
        <v>1058</v>
      </c>
      <c r="B24" s="22">
        <v>11</v>
      </c>
      <c r="C24" s="22">
        <v>11</v>
      </c>
    </row>
    <row r="25" spans="1:10" x14ac:dyDescent="0.3">
      <c r="A25" s="25" t="s">
        <v>1059</v>
      </c>
      <c r="B25" s="22">
        <v>24</v>
      </c>
      <c r="C25" s="22">
        <v>24</v>
      </c>
    </row>
    <row r="26" spans="1:10" x14ac:dyDescent="0.3">
      <c r="A26" s="25" t="s">
        <v>1060</v>
      </c>
      <c r="B26" s="22">
        <v>9</v>
      </c>
      <c r="C26" s="22">
        <v>9</v>
      </c>
    </row>
    <row r="27" spans="1:10" x14ac:dyDescent="0.3">
      <c r="A27" s="25" t="s">
        <v>1061</v>
      </c>
      <c r="B27" s="22">
        <v>6</v>
      </c>
      <c r="C27" s="22">
        <v>6</v>
      </c>
    </row>
    <row r="28" spans="1:10" x14ac:dyDescent="0.3">
      <c r="A28" s="25" t="s">
        <v>1049</v>
      </c>
      <c r="B28" s="22">
        <v>189</v>
      </c>
      <c r="C28" s="22">
        <v>189</v>
      </c>
    </row>
    <row r="34" spans="1:10" x14ac:dyDescent="0.3">
      <c r="I34" t="str">
        <f>A46</f>
        <v>R01</v>
      </c>
    </row>
    <row r="36" spans="1:10" x14ac:dyDescent="0.3">
      <c r="A36" s="24" t="s">
        <v>1048</v>
      </c>
      <c r="B36" t="s">
        <v>1043</v>
      </c>
      <c r="C36" t="s">
        <v>1044</v>
      </c>
      <c r="F36" t="s">
        <v>1070</v>
      </c>
      <c r="G36" t="s">
        <v>1071</v>
      </c>
      <c r="H36" t="s">
        <v>1072</v>
      </c>
      <c r="I36" t="s">
        <v>1073</v>
      </c>
      <c r="J36" t="s">
        <v>1074</v>
      </c>
    </row>
    <row r="37" spans="1:10" x14ac:dyDescent="0.3">
      <c r="A37" s="25" t="s">
        <v>11</v>
      </c>
      <c r="B37" s="22">
        <v>189</v>
      </c>
      <c r="C37" s="23">
        <v>18415</v>
      </c>
      <c r="F37" t="str" cm="1">
        <f t="array" ref="F37:H41">A37:C41</f>
        <v>R01</v>
      </c>
      <c r="G37">
        <v>189</v>
      </c>
      <c r="H37" s="26">
        <v>18415</v>
      </c>
      <c r="I37" cm="1">
        <f t="array" ref="I37">_xlfn.IFS(F37=$I$34,G37,TRUE,"NA")</f>
        <v>189</v>
      </c>
      <c r="J37" cm="1">
        <f t="array" ref="J37">_xlfn.IFS(F37=$I$34,H37,TRUE, "NA")</f>
        <v>18415</v>
      </c>
    </row>
    <row r="38" spans="1:10" x14ac:dyDescent="0.3">
      <c r="A38" s="25" t="s">
        <v>9</v>
      </c>
      <c r="B38" s="22">
        <v>218</v>
      </c>
      <c r="C38" s="23">
        <v>20581</v>
      </c>
      <c r="F38" t="str">
        <v>R02</v>
      </c>
      <c r="G38">
        <v>218</v>
      </c>
      <c r="H38" s="26">
        <v>20581</v>
      </c>
      <c r="I38" t="str" cm="1">
        <f t="array" ref="I38">_xlfn.IFS(F38=$I$34,G38,TRUE,"NA")</f>
        <v>NA</v>
      </c>
      <c r="J38" t="str" cm="1">
        <f t="array" ref="J38">_xlfn.IFS(F38=$I$34,H38,TRUE, "NA")</f>
        <v>NA</v>
      </c>
    </row>
    <row r="39" spans="1:10" x14ac:dyDescent="0.3">
      <c r="A39" s="25" t="s">
        <v>6</v>
      </c>
      <c r="B39" s="22">
        <v>207</v>
      </c>
      <c r="C39" s="23">
        <v>20872</v>
      </c>
      <c r="F39" t="str">
        <v>R03</v>
      </c>
      <c r="G39">
        <v>207</v>
      </c>
      <c r="H39" s="26">
        <v>20872</v>
      </c>
      <c r="I39" t="str" cm="1">
        <f t="array" ref="I39">_xlfn.IFS(F39=$I$34,G39,TRUE,"NA")</f>
        <v>NA</v>
      </c>
      <c r="J39" t="str" cm="1">
        <f t="array" ref="J39">_xlfn.IFS(F39=$I$34,H39,TRUE, "NA")</f>
        <v>NA</v>
      </c>
    </row>
    <row r="40" spans="1:10" x14ac:dyDescent="0.3">
      <c r="A40" s="25" t="s">
        <v>13</v>
      </c>
      <c r="B40" s="22">
        <v>186</v>
      </c>
      <c r="C40" s="23">
        <v>16651</v>
      </c>
      <c r="F40" t="str">
        <v>R04</v>
      </c>
      <c r="G40">
        <v>186</v>
      </c>
      <c r="H40" s="26">
        <v>16651</v>
      </c>
      <c r="I40" t="str" cm="1">
        <f t="array" ref="I40">_xlfn.IFS(F40=$I$34,G40,TRUE,"NA")</f>
        <v>NA</v>
      </c>
      <c r="J40" t="str" cm="1">
        <f t="array" ref="J40">_xlfn.IFS(F40=$I$34,H40,TRUE, "NA")</f>
        <v>NA</v>
      </c>
    </row>
    <row r="41" spans="1:10" x14ac:dyDescent="0.3">
      <c r="A41" s="25" t="s">
        <v>10</v>
      </c>
      <c r="B41" s="22">
        <v>200</v>
      </c>
      <c r="C41" s="23">
        <v>20104</v>
      </c>
      <c r="F41" t="str">
        <v>R05</v>
      </c>
      <c r="G41">
        <v>200</v>
      </c>
      <c r="H41" s="26">
        <v>20104</v>
      </c>
      <c r="I41" t="str" cm="1">
        <f t="array" ref="I41">_xlfn.IFS(F41=$I$34,G41,TRUE,"NA")</f>
        <v>NA</v>
      </c>
      <c r="J41" t="str" cm="1">
        <f t="array" ref="J41">_xlfn.IFS(F41=$I$34,H41,TRUE, "NA")</f>
        <v>NA</v>
      </c>
    </row>
    <row r="42" spans="1:10" x14ac:dyDescent="0.3">
      <c r="A42" s="25" t="s">
        <v>1049</v>
      </c>
      <c r="B42" s="22">
        <v>1000</v>
      </c>
      <c r="C42" s="23">
        <v>96623</v>
      </c>
    </row>
    <row r="45" spans="1:10" x14ac:dyDescent="0.3">
      <c r="A45" s="24" t="s">
        <v>1048</v>
      </c>
    </row>
    <row r="46" spans="1:10" x14ac:dyDescent="0.3">
      <c r="A46" s="25" t="s">
        <v>11</v>
      </c>
    </row>
    <row r="50" spans="1:12" x14ac:dyDescent="0.3">
      <c r="K50" t="s">
        <v>1077</v>
      </c>
    </row>
    <row r="52" spans="1:12" x14ac:dyDescent="0.3">
      <c r="K52" t="s">
        <v>1078</v>
      </c>
      <c r="L52" s="41">
        <f>$A$10/$A$4</f>
        <v>0.189</v>
      </c>
    </row>
    <row r="53" spans="1:12" x14ac:dyDescent="0.3">
      <c r="K53" t="s">
        <v>1081</v>
      </c>
      <c r="L53">
        <f>_xlfn.XLOOKUP(A46,F37:F41,G37:G41)</f>
        <v>189</v>
      </c>
    </row>
    <row r="54" spans="1:12" x14ac:dyDescent="0.3">
      <c r="K54" t="s">
        <v>1082</v>
      </c>
      <c r="L54">
        <f>_xlfn.XLOOKUP(A46,F37:F41,H37:H41)</f>
        <v>18415</v>
      </c>
    </row>
    <row r="57" spans="1:12" x14ac:dyDescent="0.3">
      <c r="K57" t="s">
        <v>1079</v>
      </c>
      <c r="L57">
        <f>_xlfn.RANK.AVG(L53,G37:G41)</f>
        <v>4</v>
      </c>
    </row>
    <row r="58" spans="1:12" x14ac:dyDescent="0.3">
      <c r="K58" t="s">
        <v>1080</v>
      </c>
      <c r="L58">
        <f>_xlfn.RANK.AVG(L54,H37:H41)</f>
        <v>4</v>
      </c>
    </row>
    <row r="60" spans="1:12" x14ac:dyDescent="0.3">
      <c r="A60" s="24" t="s">
        <v>1043</v>
      </c>
      <c r="B60" s="24" t="s">
        <v>1075</v>
      </c>
      <c r="K60" t="s">
        <v>1083</v>
      </c>
    </row>
    <row r="61" spans="1:12" x14ac:dyDescent="0.3">
      <c r="A61" s="24" t="s">
        <v>1048</v>
      </c>
      <c r="B61" t="s">
        <v>999</v>
      </c>
      <c r="C61" t="s">
        <v>998</v>
      </c>
      <c r="D61" t="s">
        <v>1049</v>
      </c>
      <c r="L61" t="str">
        <f>"% of calls: "&amp;TEXT(L52,"0%")</f>
        <v>% of calls: 19%</v>
      </c>
    </row>
    <row r="62" spans="1:12" x14ac:dyDescent="0.3">
      <c r="A62" s="25" t="s">
        <v>1002</v>
      </c>
      <c r="B62" s="22">
        <v>144</v>
      </c>
      <c r="C62" s="22">
        <v>132</v>
      </c>
      <c r="D62" s="22">
        <v>276</v>
      </c>
      <c r="L62" t="str">
        <f>IF(COUNTA(A46:A50)&gt;1," ","Call Rank: "&amp;L57)</f>
        <v>Call Rank: 4</v>
      </c>
    </row>
    <row r="63" spans="1:12" x14ac:dyDescent="0.3">
      <c r="A63" s="25" t="s">
        <v>1001</v>
      </c>
      <c r="B63" s="22">
        <v>326</v>
      </c>
      <c r="C63" s="22">
        <v>63</v>
      </c>
      <c r="D63" s="22">
        <v>389</v>
      </c>
      <c r="L63" t="str">
        <f>IF(COUNTA(A46:A50)&gt;1," ","Amount Rank: "&amp;L58)</f>
        <v>Amount Rank: 4</v>
      </c>
    </row>
    <row r="64" spans="1:12" x14ac:dyDescent="0.3">
      <c r="A64" s="25" t="s">
        <v>1000</v>
      </c>
      <c r="B64" s="22">
        <v>129</v>
      </c>
      <c r="C64" s="22">
        <v>206</v>
      </c>
      <c r="D64" s="22">
        <v>335</v>
      </c>
    </row>
    <row r="65" spans="1:12" x14ac:dyDescent="0.3">
      <c r="A65" s="25" t="s">
        <v>1049</v>
      </c>
      <c r="B65" s="22">
        <v>599</v>
      </c>
      <c r="C65" s="22">
        <v>401</v>
      </c>
      <c r="D65" s="22">
        <v>1000</v>
      </c>
      <c r="K65" t="s">
        <v>1084</v>
      </c>
      <c r="L65" t="e" vm="1">
        <f>IF(COUNTA(A46:A50)&gt;1," ",_xlfn.XLOOKUP(A46,Assets!E3:E7,Assets!F3:F7))</f>
        <v>#VALUE!</v>
      </c>
    </row>
    <row r="75" spans="1:12" x14ac:dyDescent="0.3">
      <c r="A75" s="24" t="s">
        <v>1048</v>
      </c>
      <c r="B75" t="s">
        <v>1043</v>
      </c>
    </row>
    <row r="76" spans="1:12" x14ac:dyDescent="0.3">
      <c r="A76" s="25">
        <v>1</v>
      </c>
      <c r="B76" s="22">
        <v>1</v>
      </c>
    </row>
    <row r="77" spans="1:12" x14ac:dyDescent="0.3">
      <c r="A77" s="25">
        <v>2</v>
      </c>
      <c r="B77" s="22">
        <v>9</v>
      </c>
    </row>
    <row r="78" spans="1:12" x14ac:dyDescent="0.3">
      <c r="A78" s="25">
        <v>3</v>
      </c>
      <c r="B78" s="22">
        <v>31</v>
      </c>
    </row>
    <row r="79" spans="1:12" x14ac:dyDescent="0.3">
      <c r="A79" s="25">
        <v>4</v>
      </c>
      <c r="B79" s="22">
        <v>88</v>
      </c>
    </row>
    <row r="80" spans="1:12" x14ac:dyDescent="0.3">
      <c r="A80" s="25">
        <v>5</v>
      </c>
      <c r="B80" s="22">
        <v>60</v>
      </c>
    </row>
    <row r="81" spans="1:7" x14ac:dyDescent="0.3">
      <c r="A81" s="25" t="s">
        <v>1049</v>
      </c>
      <c r="B81" s="22">
        <v>189</v>
      </c>
    </row>
    <row r="93" spans="1:7" x14ac:dyDescent="0.3">
      <c r="A93" s="24" t="s">
        <v>1044</v>
      </c>
      <c r="B93" s="24" t="s">
        <v>1075</v>
      </c>
    </row>
    <row r="94" spans="1:7" x14ac:dyDescent="0.3">
      <c r="A94" s="24" t="s">
        <v>1048</v>
      </c>
      <c r="B94" t="s">
        <v>11</v>
      </c>
      <c r="C94" t="s">
        <v>9</v>
      </c>
      <c r="D94" t="s">
        <v>6</v>
      </c>
      <c r="E94" t="s">
        <v>13</v>
      </c>
      <c r="F94" t="s">
        <v>10</v>
      </c>
      <c r="G94" t="s">
        <v>1049</v>
      </c>
    </row>
    <row r="95" spans="1:7" x14ac:dyDescent="0.3">
      <c r="A95" s="25" t="s">
        <v>1002</v>
      </c>
    </row>
    <row r="96" spans="1:7" x14ac:dyDescent="0.3">
      <c r="A96" s="27" t="s">
        <v>20</v>
      </c>
      <c r="B96" s="23">
        <v>891</v>
      </c>
      <c r="C96" s="23">
        <v>1332</v>
      </c>
      <c r="D96" s="23">
        <v>1282</v>
      </c>
      <c r="E96" s="23">
        <v>739</v>
      </c>
      <c r="F96" s="23">
        <v>560</v>
      </c>
      <c r="G96" s="23">
        <v>4804</v>
      </c>
    </row>
    <row r="97" spans="1:7" x14ac:dyDescent="0.3">
      <c r="A97" s="27" t="s">
        <v>12</v>
      </c>
      <c r="B97" s="23">
        <v>1991</v>
      </c>
      <c r="C97" s="23">
        <v>1886</v>
      </c>
      <c r="D97" s="23">
        <v>1206</v>
      </c>
      <c r="E97" s="23">
        <v>884</v>
      </c>
      <c r="F97" s="23">
        <v>1722</v>
      </c>
      <c r="G97" s="23">
        <v>7689</v>
      </c>
    </row>
    <row r="98" spans="1:7" x14ac:dyDescent="0.3">
      <c r="A98" s="27" t="s">
        <v>8</v>
      </c>
      <c r="B98" s="23">
        <v>1163</v>
      </c>
      <c r="C98" s="23">
        <v>1180</v>
      </c>
      <c r="D98" s="23">
        <v>1616</v>
      </c>
      <c r="E98" s="23">
        <v>1043</v>
      </c>
      <c r="F98" s="23">
        <v>1747</v>
      </c>
      <c r="G98" s="23">
        <v>6749</v>
      </c>
    </row>
    <row r="99" spans="1:7" x14ac:dyDescent="0.3">
      <c r="A99" s="27" t="s">
        <v>16</v>
      </c>
      <c r="B99" s="23">
        <v>1438</v>
      </c>
      <c r="C99" s="23">
        <v>1616</v>
      </c>
      <c r="D99" s="23">
        <v>866</v>
      </c>
      <c r="E99" s="23">
        <v>829</v>
      </c>
      <c r="F99" s="23">
        <v>2070</v>
      </c>
      <c r="G99" s="23">
        <v>6819</v>
      </c>
    </row>
    <row r="100" spans="1:7" x14ac:dyDescent="0.3">
      <c r="A100" s="25" t="s">
        <v>1001</v>
      </c>
    </row>
    <row r="101" spans="1:7" x14ac:dyDescent="0.3">
      <c r="A101" s="27" t="s">
        <v>24</v>
      </c>
      <c r="B101" s="23">
        <v>1233</v>
      </c>
      <c r="C101" s="23">
        <v>223</v>
      </c>
      <c r="D101" s="23">
        <v>1680</v>
      </c>
      <c r="E101" s="23">
        <v>990</v>
      </c>
      <c r="F101" s="23">
        <v>1508</v>
      </c>
      <c r="G101" s="23">
        <v>5634</v>
      </c>
    </row>
    <row r="102" spans="1:7" x14ac:dyDescent="0.3">
      <c r="A102" s="27" t="s">
        <v>15</v>
      </c>
      <c r="B102" s="23">
        <v>1598</v>
      </c>
      <c r="C102" s="23">
        <v>1907</v>
      </c>
      <c r="D102" s="23">
        <v>869</v>
      </c>
      <c r="E102" s="23">
        <v>1426</v>
      </c>
      <c r="F102" s="23">
        <v>1416</v>
      </c>
      <c r="G102" s="23">
        <v>7216</v>
      </c>
    </row>
    <row r="103" spans="1:7" x14ac:dyDescent="0.3">
      <c r="A103" s="27" t="s">
        <v>5</v>
      </c>
      <c r="B103" s="23">
        <v>900</v>
      </c>
      <c r="C103" s="23">
        <v>1016</v>
      </c>
      <c r="D103" s="23">
        <v>960</v>
      </c>
      <c r="E103" s="23">
        <v>940</v>
      </c>
      <c r="F103" s="23">
        <v>1193</v>
      </c>
      <c r="G103" s="23">
        <v>5009</v>
      </c>
    </row>
    <row r="104" spans="1:7" x14ac:dyDescent="0.3">
      <c r="A104" s="27" t="s">
        <v>18</v>
      </c>
      <c r="B104" s="23">
        <v>900</v>
      </c>
      <c r="C104" s="23">
        <v>1470</v>
      </c>
      <c r="D104" s="23">
        <v>1617</v>
      </c>
      <c r="E104" s="23">
        <v>1314</v>
      </c>
      <c r="F104" s="23">
        <v>941</v>
      </c>
      <c r="G104" s="23">
        <v>6242</v>
      </c>
    </row>
    <row r="105" spans="1:7" x14ac:dyDescent="0.3">
      <c r="A105" s="27" t="s">
        <v>14</v>
      </c>
      <c r="B105" s="23">
        <v>1255</v>
      </c>
      <c r="C105" s="23">
        <v>516</v>
      </c>
      <c r="D105" s="23">
        <v>1874</v>
      </c>
      <c r="E105" s="23">
        <v>1863</v>
      </c>
      <c r="F105" s="23">
        <v>1722</v>
      </c>
      <c r="G105" s="23">
        <v>7230</v>
      </c>
    </row>
    <row r="106" spans="1:7" x14ac:dyDescent="0.3">
      <c r="A106" s="27" t="s">
        <v>19</v>
      </c>
      <c r="B106" s="23">
        <v>1138</v>
      </c>
      <c r="C106" s="23">
        <v>1898</v>
      </c>
      <c r="D106" s="23">
        <v>1482</v>
      </c>
      <c r="E106" s="23">
        <v>846</v>
      </c>
      <c r="F106" s="23">
        <v>1154</v>
      </c>
      <c r="G106" s="23">
        <v>6518</v>
      </c>
    </row>
    <row r="107" spans="1:7" x14ac:dyDescent="0.3">
      <c r="A107" s="25" t="s">
        <v>1000</v>
      </c>
    </row>
    <row r="108" spans="1:7" x14ac:dyDescent="0.3">
      <c r="A108" s="27" t="s">
        <v>17</v>
      </c>
      <c r="B108" s="23">
        <v>1655</v>
      </c>
      <c r="C108" s="23">
        <v>805</v>
      </c>
      <c r="D108" s="23">
        <v>2263</v>
      </c>
      <c r="E108" s="23">
        <v>987</v>
      </c>
      <c r="F108" s="23">
        <v>1075</v>
      </c>
      <c r="G108" s="23">
        <v>6785</v>
      </c>
    </row>
    <row r="109" spans="1:7" x14ac:dyDescent="0.3">
      <c r="A109" s="27" t="s">
        <v>23</v>
      </c>
      <c r="B109" s="23">
        <v>1104</v>
      </c>
      <c r="C109" s="23">
        <v>2280</v>
      </c>
      <c r="D109" s="23">
        <v>1445</v>
      </c>
      <c r="E109" s="23">
        <v>1722</v>
      </c>
      <c r="F109" s="23">
        <v>1196</v>
      </c>
      <c r="G109" s="23">
        <v>7747</v>
      </c>
    </row>
    <row r="110" spans="1:7" x14ac:dyDescent="0.3">
      <c r="A110" s="27" t="s">
        <v>7</v>
      </c>
      <c r="B110" s="23">
        <v>372</v>
      </c>
      <c r="C110" s="23">
        <v>1818</v>
      </c>
      <c r="D110" s="23">
        <v>1346</v>
      </c>
      <c r="E110" s="23">
        <v>1156</v>
      </c>
      <c r="F110" s="23">
        <v>1484</v>
      </c>
      <c r="G110" s="23">
        <v>6176</v>
      </c>
    </row>
    <row r="111" spans="1:7" x14ac:dyDescent="0.3">
      <c r="A111" s="27" t="s">
        <v>22</v>
      </c>
      <c r="B111" s="23">
        <v>1415</v>
      </c>
      <c r="C111" s="23">
        <v>1271</v>
      </c>
      <c r="D111" s="23">
        <v>1214</v>
      </c>
      <c r="E111" s="23">
        <v>1135</v>
      </c>
      <c r="F111" s="23">
        <v>1566</v>
      </c>
      <c r="G111" s="23">
        <v>6601</v>
      </c>
    </row>
    <row r="112" spans="1:7" x14ac:dyDescent="0.3">
      <c r="A112" s="27" t="s">
        <v>21</v>
      </c>
      <c r="B112" s="23">
        <v>1362</v>
      </c>
      <c r="C112" s="23">
        <v>1363</v>
      </c>
      <c r="D112" s="23">
        <v>1152</v>
      </c>
      <c r="E112" s="23">
        <v>777</v>
      </c>
      <c r="F112" s="23">
        <v>750</v>
      </c>
      <c r="G112" s="23">
        <v>5404</v>
      </c>
    </row>
  </sheetData>
  <pageMargins left="0.7" right="0.7" top="0.75" bottom="0.75" header="0.3" footer="0.3"/>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Normal="100" workbookViewId="0">
      <selection activeCell="D9" sqref="D9"/>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ht="13.8" customHeight="1"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Normal="100" workbookViewId="0">
      <selection activeCell="F20" sqref="F20"/>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2">
        <v>#VALUE!</v>
      </c>
    </row>
    <row r="4" spans="5:6" ht="25.5" customHeight="1" x14ac:dyDescent="0.3">
      <c r="E4" t="s">
        <v>9</v>
      </c>
      <c r="F4" t="e" vm="3">
        <v>#VALUE!</v>
      </c>
    </row>
    <row r="5" spans="5:6" ht="25.5" customHeight="1" x14ac:dyDescent="0.3">
      <c r="E5" t="s">
        <v>6</v>
      </c>
      <c r="F5" t="e" vm="4">
        <v>#VALUE!</v>
      </c>
    </row>
    <row r="6" spans="5:6" ht="25.5" customHeight="1" x14ac:dyDescent="0.3">
      <c r="E6" t="s">
        <v>13</v>
      </c>
      <c r="F6" t="e" vm="5">
        <v>#VALUE!</v>
      </c>
    </row>
    <row r="7" spans="5:6" ht="25.5" customHeight="1" x14ac:dyDescent="0.3">
      <c r="E7" t="s">
        <v>10</v>
      </c>
      <c r="F7" t="e" vm="6">
        <v>#VALUE!</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Customer Centre Report</vt:lpstr>
      <vt:lpstr>Pivots</vt:lpstr>
      <vt:lpstr>Data</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Jatin Kundra</cp:lastModifiedBy>
  <dcterms:created xsi:type="dcterms:W3CDTF">2021-03-14T20:21:32Z</dcterms:created>
  <dcterms:modified xsi:type="dcterms:W3CDTF">2026-02-16T11:42:07Z</dcterms:modified>
</cp:coreProperties>
</file>